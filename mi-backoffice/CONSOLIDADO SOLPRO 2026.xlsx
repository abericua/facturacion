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mi-backoffice\"/>
    </mc:Choice>
  </mc:AlternateContent>
  <xr:revisionPtr revIDLastSave="0" documentId="8_{6D66B4BD-A3CF-4561-864B-955D443FCAE4}" xr6:coauthVersionLast="47" xr6:coauthVersionMax="47" xr10:uidLastSave="{00000000-0000-0000-0000-000000000000}"/>
  <bookViews>
    <workbookView xWindow="-108" yWindow="-108" windowWidth="23256" windowHeight="13896" xr2:uid="{3F8616AB-5810-4475-BAD2-228791524AD8}"/>
  </bookViews>
  <sheets>
    <sheet name="RESUMEN 2026" sheetId="5" r:id="rId1"/>
    <sheet name="LISTA_PRECIOS_SOLPRO" sheetId="2" r:id="rId2"/>
    <sheet name="VENTAS TOTALES 2026" sheetId="1" r:id="rId3"/>
    <sheet name="COSTOS_INTERNOS_SOLPRO" sheetId="4" r:id="rId4"/>
    <sheet name="VENTAS TOTALES 2026 v2" sheetId="3" r:id="rId5"/>
  </sheets>
  <definedNames>
    <definedName name="DatosExternos_1" localSheetId="3" hidden="1">'COSTOS_INTERNOS_SOLPRO'!$A$1:$E$157</definedName>
    <definedName name="DatosExternos_1" localSheetId="1" hidden="1">LISTA_PRECIOS_SOLPRO!$A$1:$F$189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5" i="5" l="1"/>
  <c r="F64" i="5"/>
  <c r="F63" i="5"/>
  <c r="F62" i="5"/>
  <c r="F61" i="5"/>
  <c r="F60" i="5"/>
  <c r="F59" i="5"/>
  <c r="F58" i="5"/>
  <c r="F57" i="5"/>
  <c r="F56" i="5"/>
  <c r="E66" i="5"/>
  <c r="D66" i="5"/>
  <c r="D52" i="5"/>
  <c r="C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F33" i="5"/>
  <c r="F32" i="5"/>
  <c r="F31" i="5"/>
  <c r="F30" i="5"/>
  <c r="E33" i="5"/>
  <c r="E32" i="5"/>
  <c r="E31" i="5"/>
  <c r="E30" i="5"/>
  <c r="D33" i="5"/>
  <c r="D32" i="5"/>
  <c r="D31" i="5"/>
  <c r="D30" i="5"/>
  <c r="C33" i="5"/>
  <c r="C32" i="5" a="1"/>
  <c r="C32" i="5" s="1"/>
  <c r="C31" i="5" a="1"/>
  <c r="C31" i="5" s="1"/>
  <c r="C30" i="5" a="1"/>
  <c r="C30" i="5" s="1"/>
  <c r="B33" i="5"/>
  <c r="B32" i="5" a="1"/>
  <c r="B32" i="5" s="1"/>
  <c r="B31" i="5" a="1"/>
  <c r="B31" i="5" s="1"/>
  <c r="B30" i="5" a="1"/>
  <c r="B30" i="5" s="1"/>
  <c r="E26" i="5"/>
  <c r="E25" i="5"/>
  <c r="E24" i="5"/>
  <c r="E23" i="5"/>
  <c r="E22" i="5"/>
  <c r="D26" i="5"/>
  <c r="D25" i="5"/>
  <c r="D24" i="5"/>
  <c r="D23" i="5"/>
  <c r="D22" i="5"/>
  <c r="C26" i="5"/>
  <c r="C25" i="5" a="1"/>
  <c r="C25" i="5" s="1"/>
  <c r="C24" i="5" a="1"/>
  <c r="C24" i="5" s="1"/>
  <c r="C23" i="5" a="1"/>
  <c r="C23" i="5" s="1"/>
  <c r="C22" i="5" a="1"/>
  <c r="C22" i="5" s="1"/>
  <c r="B26" i="5"/>
  <c r="B25" i="5" a="1"/>
  <c r="B25" i="5" s="1"/>
  <c r="B24" i="5" a="1"/>
  <c r="B24" i="5" s="1"/>
  <c r="B23" i="5" a="1"/>
  <c r="B23" i="5" s="1"/>
  <c r="B22" i="5" a="1"/>
  <c r="B22" i="5" s="1"/>
  <c r="E18" i="5"/>
  <c r="E17" i="5"/>
  <c r="E16" i="5"/>
  <c r="E15" i="5"/>
  <c r="E14" i="5"/>
  <c r="D18" i="5"/>
  <c r="D17" i="5"/>
  <c r="D16" i="5"/>
  <c r="D15" i="5"/>
  <c r="D14" i="5"/>
  <c r="C18" i="5"/>
  <c r="C17" i="5" a="1"/>
  <c r="C17" i="5" s="1"/>
  <c r="C16" i="5" a="1"/>
  <c r="C16" i="5" s="1"/>
  <c r="C15" i="5" a="1"/>
  <c r="C15" i="5" s="1"/>
  <c r="C14" i="5" a="1"/>
  <c r="C14" i="5" s="1"/>
  <c r="B18" i="5"/>
  <c r="B17" i="5" a="1"/>
  <c r="B17" i="5" s="1"/>
  <c r="B16" i="5" a="1"/>
  <c r="B16" i="5" s="1"/>
  <c r="B15" i="5" a="1"/>
  <c r="B15" i="5" s="1"/>
  <c r="B14" i="5" a="1"/>
  <c r="B14" i="5" s="1"/>
  <c r="B10" i="5"/>
  <c r="B9" i="5"/>
  <c r="B8" i="5"/>
  <c r="B7" i="5"/>
  <c r="B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C5E999-5C26-44E9-9BB7-77394F34CA82}" keepAlive="1" name="Consulta - COSTOS_INTERNOS_SOLPRO" description="Conexión a la consulta 'COSTOS_INTERNOS_SOLPRO' en el libro." type="5" refreshedVersion="7" background="1" saveData="1">
    <dbPr connection="Provider=Microsoft.Mashup.OleDb.1;Data Source=$Workbook$;Location=COSTOS_INTERNOS_SOLPRO;Extended Properties=&quot;&quot;" command="SELECT * FROM [COSTOS_INTERNOS_SOLPRO]"/>
  </connection>
  <connection id="2" xr16:uid="{5567F79C-6D10-4552-97DA-F0D1A0079C09}" keepAlive="1" name="Consulta - LISTA_PRECIOS_SOLPRO" description="Conexión a la consulta 'LISTA_PRECIOS_SOLPRO' en el libro." type="5" refreshedVersion="7" background="1" saveData="1">
    <dbPr connection="Provider=Microsoft.Mashup.OleDb.1;Data Source=$Workbook$;Location=LISTA_PRECIOS_SOLPRO;Extended Properties=&quot;&quot;" command="SELECT * FROM [LISTA_PRECIOS_SOLPR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<sst xmlns="http://schemas.openxmlformats.org/spreadsheetml/2006/main" count="4433" uniqueCount="1106">
  <si>
    <t>Column1</t>
  </si>
  <si>
    <t>Column2</t>
  </si>
  <si>
    <t>Column3</t>
  </si>
  <si>
    <t>Column4</t>
  </si>
  <si>
    <t>Column5</t>
  </si>
  <si>
    <t>Column6</t>
  </si>
  <si>
    <t>ID REF</t>
  </si>
  <si>
    <t>LÍNEA</t>
  </si>
  <si>
    <t>PRODUCTO</t>
  </si>
  <si>
    <t>P. CONTADO</t>
  </si>
  <si>
    <t>P. DIGITAL (QR)</t>
  </si>
  <si>
    <t>P. CRÉDITO</t>
  </si>
  <si>
    <t>IM-001</t>
  </si>
  <si>
    <t>INDUSTRIAL</t>
  </si>
  <si>
    <t>HORNO TUCANO DTF 90CM FOB</t>
  </si>
  <si>
    <t>U$D 5.190</t>
  </si>
  <si>
    <t>U$D 5.390</t>
  </si>
  <si>
    <t>Gs. 33.890.000</t>
  </si>
  <si>
    <t>SC-001</t>
  </si>
  <si>
    <t>COMERCIAL</t>
  </si>
  <si>
    <t>IMPRESORA EPSON F170</t>
  </si>
  <si>
    <t>Gs. 2.590.000</t>
  </si>
  <si>
    <t>Gs. 2.690.000</t>
  </si>
  <si>
    <t>CONTADO</t>
  </si>
  <si>
    <t>SC-002</t>
  </si>
  <si>
    <t>IMPRESORA EPSON L121</t>
  </si>
  <si>
    <t>Gs. 690.000</t>
  </si>
  <si>
    <t>SC-003</t>
  </si>
  <si>
    <t>IMPRESORA EPSON L1250</t>
  </si>
  <si>
    <t>Gs. 1.190.000</t>
  </si>
  <si>
    <t>SC-004</t>
  </si>
  <si>
    <t>IMPRESORA EPSON L14150</t>
  </si>
  <si>
    <t>Gs. 5.490.000</t>
  </si>
  <si>
    <t>Gs. 5.690.000</t>
  </si>
  <si>
    <t>SC-005</t>
  </si>
  <si>
    <t>IMPRESORA EPSON L3210</t>
  </si>
  <si>
    <t>Gs. 1.390.000</t>
  </si>
  <si>
    <t>SC-006</t>
  </si>
  <si>
    <t>MP EPSON L 4360 MULTIFUNCION WIR</t>
  </si>
  <si>
    <t>Gs. 2.190.000</t>
  </si>
  <si>
    <t>Gs. 2.290.000</t>
  </si>
  <si>
    <t>SC-007</t>
  </si>
  <si>
    <t>IMP EPSON L 3210 MULTIFUNCION</t>
  </si>
  <si>
    <t>Gs. 1.690.000</t>
  </si>
  <si>
    <t>Gs. 1.790.000</t>
  </si>
  <si>
    <t>SC-008</t>
  </si>
  <si>
    <t>IMP EPSON L 3560 MULTIFUNCION WIR</t>
  </si>
  <si>
    <t>Gs. 1.990.000</t>
  </si>
  <si>
    <t>Gs. 2.090.000</t>
  </si>
  <si>
    <t>SC-009</t>
  </si>
  <si>
    <t>IMP EPSON L 4260 MULTIFUNCION WIR</t>
  </si>
  <si>
    <t>SC-010</t>
  </si>
  <si>
    <t>IMP EPSON L 5590 MULTIFUNCION WIR/RED</t>
  </si>
  <si>
    <t>Gs. 2.790.000</t>
  </si>
  <si>
    <t>SC-011</t>
  </si>
  <si>
    <t>IMP EPSON L 6270 MULTIFUNCION DUPLO/WIF/RED</t>
  </si>
  <si>
    <t>Gs. 3.690.000</t>
  </si>
  <si>
    <t>Gs. 3.790.000</t>
  </si>
  <si>
    <t>SC-012</t>
  </si>
  <si>
    <t>IMP EPSON L14150 MULTIFUNCION WIR A3</t>
  </si>
  <si>
    <t>SC-013</t>
  </si>
  <si>
    <t>IMP EPSON L 15150 MULTIFUNCION/FAX WIR/RED/A3</t>
  </si>
  <si>
    <t>Gs. 8.690.000</t>
  </si>
  <si>
    <t>Gs. 9.090.000</t>
  </si>
  <si>
    <t>SC-014</t>
  </si>
  <si>
    <t>IMP EPSON L 8050 FOTOGRAFICA/CD WIR</t>
  </si>
  <si>
    <t>Gs. 3.190.000</t>
  </si>
  <si>
    <t>Gs. 3.290.000</t>
  </si>
  <si>
    <t>SC-015</t>
  </si>
  <si>
    <t>IMP EPSON L8180 MULTIFUNCION A3 WIR</t>
  </si>
  <si>
    <t>Gs. 7.590.000</t>
  </si>
  <si>
    <t>Gs. 7.890.000</t>
  </si>
  <si>
    <t>SC-016</t>
  </si>
  <si>
    <t>ACCESORIOS</t>
  </si>
  <si>
    <t>ACCESORIOS BROTHER PRCF3 MARCO DE TAPA DE 60MM/PL</t>
  </si>
  <si>
    <t>Gs. 3.390.000</t>
  </si>
  <si>
    <t>SC-017</t>
  </si>
  <si>
    <t>BASTIDOR BROTHER PRH100 10X10CM</t>
  </si>
  <si>
    <t>Gs. 290.000</t>
  </si>
  <si>
    <t>SC-018</t>
  </si>
  <si>
    <t>BASTIDOR BROTHER PRH180 18X13CM</t>
  </si>
  <si>
    <t>SC-019</t>
  </si>
  <si>
    <t>BASTIDOR BROTHER PRH300 20X30CM</t>
  </si>
  <si>
    <t>Gs. 390.000</t>
  </si>
  <si>
    <t>SC-020</t>
  </si>
  <si>
    <t>BASTIDOR BROTHER PRH60 6X4CM</t>
  </si>
  <si>
    <t>Gs. 190.000</t>
  </si>
  <si>
    <t>SC-021</t>
  </si>
  <si>
    <t>BORDADORA BROTHER BP1530LPA 26 X 16CM</t>
  </si>
  <si>
    <t>Gs. 9.490.000</t>
  </si>
  <si>
    <t>Gs. 9.890.000</t>
  </si>
  <si>
    <t>SC-022</t>
  </si>
  <si>
    <t>BORDADORA BROTHER NV970LPA 2 EN 1 BORDA Y COSE 10</t>
  </si>
  <si>
    <t>Gs. 5.190.000</t>
  </si>
  <si>
    <t>Gs. 5.390.000</t>
  </si>
  <si>
    <t>SC-023</t>
  </si>
  <si>
    <t>BORDADORA BROTHER PE910LPA 18 X 13CM</t>
  </si>
  <si>
    <t>Gs. 6.390.000</t>
  </si>
  <si>
    <t>Gs. 6.690.000</t>
  </si>
  <si>
    <t>SC-024</t>
  </si>
  <si>
    <t>BORDADORA BROTHER PR680WPA 30 X 20CM COMBO</t>
  </si>
  <si>
    <t>Gs. 58.890.000</t>
  </si>
  <si>
    <t>Gs. 61.290.000</t>
  </si>
  <si>
    <t>SC-025</t>
  </si>
  <si>
    <t>BORDADORA BROTHER PR680WPA 30 X 20CM NORMAL</t>
  </si>
  <si>
    <t>Gs. 51.890.000</t>
  </si>
  <si>
    <t>Gs. 54.090.000</t>
  </si>
  <si>
    <t>SC-026</t>
  </si>
  <si>
    <t>MAQUINA DE COSER BROTHER BM2800PA</t>
  </si>
  <si>
    <t>SC-027</t>
  </si>
  <si>
    <t>MAQUINA DE COSER BROTHER BM3850PA</t>
  </si>
  <si>
    <t>Gs. 1.890.000</t>
  </si>
  <si>
    <t>SC-028</t>
  </si>
  <si>
    <t>MAQUINA DE COSER BROTHER JS2135PA MECANICA FAMILIA</t>
  </si>
  <si>
    <t>SC-029</t>
  </si>
  <si>
    <t>MAQUINA DE COSER BROTHER SQ9100PA</t>
  </si>
  <si>
    <t>Gs. 2.890.000</t>
  </si>
  <si>
    <t>Gs. 2.990.000</t>
  </si>
  <si>
    <t>SC-030</t>
  </si>
  <si>
    <t>OVERLOCK BROTHER 3534DTPA</t>
  </si>
  <si>
    <t>Gs. 3.090.000</t>
  </si>
  <si>
    <t>SC-031</t>
  </si>
  <si>
    <t>SOFTWARE BROTHER PEDESIGN11L</t>
  </si>
  <si>
    <t>Gs. 5.890.000</t>
  </si>
  <si>
    <t>Gs. 6.090.000</t>
  </si>
  <si>
    <t>SC-032</t>
  </si>
  <si>
    <t>TAPETE BROTHER CADXMATF12 P/ CORTE DE TELA 12X12</t>
  </si>
  <si>
    <t>SC-033</t>
  </si>
  <si>
    <t>TAPETE BROTHER CADXMATLOW12 12X12 BAJA ADHERENCIA</t>
  </si>
  <si>
    <t>Gs. 90.000</t>
  </si>
  <si>
    <t>SC-034</t>
  </si>
  <si>
    <t>TAPETE BROTHER CADXMATLOW24 30x60 BAJA ADHERENCIA</t>
  </si>
  <si>
    <t>SC-035</t>
  </si>
  <si>
    <t>TAPETE BROTHER CADXMATSTD12 30x30 STD</t>
  </si>
  <si>
    <t>SC-036</t>
  </si>
  <si>
    <t>TAPETE BROTHER CADXMATSTD24 30x60 STD</t>
  </si>
  <si>
    <t>SC-037</t>
  </si>
  <si>
    <t>CUCHILLA BROTHER CADXBLDV1 DE VINILO P/ AUTO</t>
  </si>
  <si>
    <t>SC-038</t>
  </si>
  <si>
    <t>CUCHILLA DE CORTE AUTO P/ TELA BROTHER CADXBLDQ1</t>
  </si>
  <si>
    <t>SC-039</t>
  </si>
  <si>
    <t>CUCHILLA DE CORTE AUTO STD BROTHER CADXBLD1</t>
  </si>
  <si>
    <t>SC-040</t>
  </si>
  <si>
    <t>RODILLO BROTHER P/ ADHE DE MAT. AL TAPETE (CABRY1)</t>
  </si>
  <si>
    <t>SC-041</t>
  </si>
  <si>
    <t>SCANNCUT BROTHER SDX225PA</t>
  </si>
  <si>
    <t>Gs. 4.090.000</t>
  </si>
  <si>
    <t>Gs. 4.290.000</t>
  </si>
  <si>
    <t>SC-042</t>
  </si>
  <si>
    <t>SCANCUT SDX125</t>
  </si>
  <si>
    <t>SC-043</t>
  </si>
  <si>
    <t>PRENSA DE CALOR CRICUT TAZA 2008736</t>
  </si>
  <si>
    <t>SC-044</t>
  </si>
  <si>
    <t>PRENSA DE CALOR CRICUT EASYPRESS 2005557</t>
  </si>
  <si>
    <t>SC-045</t>
  </si>
  <si>
    <t>PRENSA DE CALOR CRICUT HAT 2009241</t>
  </si>
  <si>
    <t>SC-046</t>
  </si>
  <si>
    <t>PRENSA DE CALOR CRICUT EASYPRESS 2005553</t>
  </si>
  <si>
    <t>Gs. 1.090.000</t>
  </si>
  <si>
    <t>SC-047</t>
  </si>
  <si>
    <t>SURECOLOR P900</t>
  </si>
  <si>
    <t>U$D 1.990</t>
  </si>
  <si>
    <t>U$D 2.090</t>
  </si>
  <si>
    <t>Gs. 13.390.000</t>
  </si>
  <si>
    <t>SC-048</t>
  </si>
  <si>
    <t>IMP EPSON SCF1070SE WIF/RED SURECOLOR</t>
  </si>
  <si>
    <t>U$D 8.490</t>
  </si>
  <si>
    <t>U$D 8.790</t>
  </si>
  <si>
    <t>Gs. 55.890.000</t>
  </si>
  <si>
    <t>SC-049</t>
  </si>
  <si>
    <t>EPSON SURECOLOR P5000 STANDARD EDITION</t>
  </si>
  <si>
    <t>U$D 2.690</t>
  </si>
  <si>
    <t>U$D 2.790</t>
  </si>
  <si>
    <t>Gs. 17.490.000</t>
  </si>
  <si>
    <t>SC-050</t>
  </si>
  <si>
    <t>EPSON SURECOLOR P7570 STANDARD EDITION</t>
  </si>
  <si>
    <t>U$D 5.990</t>
  </si>
  <si>
    <t>U$D 6.190</t>
  </si>
  <si>
    <t>Gs. 39.290.000</t>
  </si>
  <si>
    <t>SC-051</t>
  </si>
  <si>
    <t>EPSON SURECOLOR P9570 STANDARD EDITION</t>
  </si>
  <si>
    <t>U$D 8.390</t>
  </si>
  <si>
    <t>U$D 8.690</t>
  </si>
  <si>
    <t>Gs. 54.690.000</t>
  </si>
  <si>
    <t>SC-052</t>
  </si>
  <si>
    <t>EPSON SURECOLOR P8570D 44 DUAL ROLL</t>
  </si>
  <si>
    <t>U$D 7.790</t>
  </si>
  <si>
    <t>U$D 8.090</t>
  </si>
  <si>
    <t>Gs. 51.390.000</t>
  </si>
  <si>
    <t>SC-053</t>
  </si>
  <si>
    <t>SURECOLOR P6570E SINGLE ROLL 24</t>
  </si>
  <si>
    <t>U$D 4.790</t>
  </si>
  <si>
    <t>U$D 4.990</t>
  </si>
  <si>
    <t>Gs. 31.590.000</t>
  </si>
  <si>
    <t>SC-054</t>
  </si>
  <si>
    <t>SURECOLOR P6570DE DUAL ROLL 24</t>
  </si>
  <si>
    <t>U$D 5.890</t>
  </si>
  <si>
    <t>U$D 6.090</t>
  </si>
  <si>
    <t>Gs. 38.490.000</t>
  </si>
  <si>
    <t>SC-055</t>
  </si>
  <si>
    <t>SURECOLOR P6570D DUAL ROLL 24 PS</t>
  </si>
  <si>
    <t>U$D 6.690</t>
  </si>
  <si>
    <t>U$D 6.990</t>
  </si>
  <si>
    <t>Gs. 43.790.000</t>
  </si>
  <si>
    <t>SC-056</t>
  </si>
  <si>
    <t>EPSON SURECOLOR P20000 STANDARD EDITION</t>
  </si>
  <si>
    <t>U$D 15.490</t>
  </si>
  <si>
    <t>U$D 16.090</t>
  </si>
  <si>
    <t>Gs. 101.390.000</t>
  </si>
  <si>
    <t>SC-057</t>
  </si>
  <si>
    <t>EPSON SURECOLOR P8570DL 44 INK BAGS PS</t>
  </si>
  <si>
    <t>U$D 10.690</t>
  </si>
  <si>
    <t>U$D 11.090</t>
  </si>
  <si>
    <t>Gs. 70.290.000</t>
  </si>
  <si>
    <t>SC-058</t>
  </si>
  <si>
    <t>SURECOLOR S40600 PRODUCTION EDITION</t>
  </si>
  <si>
    <t>U$D 10.890</t>
  </si>
  <si>
    <t>U$D 11.290</t>
  </si>
  <si>
    <t>Gs. 71.390.000</t>
  </si>
  <si>
    <t>SC-059</t>
  </si>
  <si>
    <t>SURE COLOR S60600L BULK INK SYSTEM</t>
  </si>
  <si>
    <t>U$D 28.490</t>
  </si>
  <si>
    <t>U$D 29.690</t>
  </si>
  <si>
    <t>Gs. 186.990.000</t>
  </si>
  <si>
    <t>SC-060</t>
  </si>
  <si>
    <t>SURE COLOR S80600L BULK INK SYSTEM</t>
  </si>
  <si>
    <t>U$D 34.290</t>
  </si>
  <si>
    <t>U$D 35.690</t>
  </si>
  <si>
    <t>Gs. 224.690.000</t>
  </si>
  <si>
    <t>SC-061</t>
  </si>
  <si>
    <t>EPSON SURECOLOR R5070L PRODUCTION EDITION</t>
  </si>
  <si>
    <t>U$D 31.290</t>
  </si>
  <si>
    <t>U$D 32.590</t>
  </si>
  <si>
    <t>Gs. 205.190.000</t>
  </si>
  <si>
    <t>SC-062</t>
  </si>
  <si>
    <t>EPSON SURECOLOR R5070L PRODUCTION EDITION PRECIO ESPECIAL</t>
  </si>
  <si>
    <t>U$D 29.790</t>
  </si>
  <si>
    <t>U$D 30.990</t>
  </si>
  <si>
    <t>Gs. 194.990.000</t>
  </si>
  <si>
    <t>SC-063</t>
  </si>
  <si>
    <t>EPSON SURECOLOR V7000 UV FLATBED</t>
  </si>
  <si>
    <t>U$D 108.490</t>
  </si>
  <si>
    <t>U$D 112.990</t>
  </si>
  <si>
    <t>Gs. 710.990.000</t>
  </si>
  <si>
    <t>SC-064</t>
  </si>
  <si>
    <t>SC-V7000 LARGE FORMAT INKJET PRINTER</t>
  </si>
  <si>
    <t>U$D 83.590</t>
  </si>
  <si>
    <t>U$D 87.090</t>
  </si>
  <si>
    <t>Gs. 547.490.000</t>
  </si>
  <si>
    <t>SC-065</t>
  </si>
  <si>
    <t>HEAD INSTALLATION KIT FOR SC-V7000SERIES</t>
  </si>
  <si>
    <t>Gs. 144.690.000</t>
  </si>
  <si>
    <t>Gs. 150.690.000</t>
  </si>
  <si>
    <t>SC-066</t>
  </si>
  <si>
    <t>DOCUMENT PACK FOR SC-V7000 SERIES</t>
  </si>
  <si>
    <t>U$D 2.190</t>
  </si>
  <si>
    <t>U$D 2.290</t>
  </si>
  <si>
    <t>Gs. 14.190.000</t>
  </si>
  <si>
    <t>SC-067</t>
  </si>
  <si>
    <t>SIGNAGE SURECOLOR V1070 A4 PRECIO DE LISTA SOL CONTROL 2025 DIC CON EL 5%</t>
  </si>
  <si>
    <t>Gs. 68.490.000</t>
  </si>
  <si>
    <t>Gs. 71.290.000</t>
  </si>
  <si>
    <t>SC-068</t>
  </si>
  <si>
    <t>SIGNAGE SURECOLOR V1070 A4</t>
  </si>
  <si>
    <t>Gs. 65.990.000</t>
  </si>
  <si>
    <t>Gs. 68.690.000</t>
  </si>
  <si>
    <t>SC-069</t>
  </si>
  <si>
    <t>SIGNAGE SURECOLOR V2070 A3</t>
  </si>
  <si>
    <t>Gs. 0</t>
  </si>
  <si>
    <t>SC-070</t>
  </si>
  <si>
    <t>SURECOLOR T3170</t>
  </si>
  <si>
    <t>Gs. 7.390.000</t>
  </si>
  <si>
    <t>Gs. 7.690.000</t>
  </si>
  <si>
    <t>SC-071</t>
  </si>
  <si>
    <t>SURECOLOR T3170X</t>
  </si>
  <si>
    <t>Gs. 17.290.000</t>
  </si>
  <si>
    <t>Gs. 17.990.000</t>
  </si>
  <si>
    <t>SC-072</t>
  </si>
  <si>
    <t>SURECOLOR T3170M</t>
  </si>
  <si>
    <t>Gs. 17.390.000</t>
  </si>
  <si>
    <t>Gs. 18.090.000</t>
  </si>
  <si>
    <t>SC-073</t>
  </si>
  <si>
    <t>SURECOLOR T3770E SINGLE ROLL 24</t>
  </si>
  <si>
    <t>Gs. 31.690.000</t>
  </si>
  <si>
    <t>SC-074</t>
  </si>
  <si>
    <t>SURECOLOR T3770DE DUAL ROLL 24</t>
  </si>
  <si>
    <t>Gs. 38.590.000</t>
  </si>
  <si>
    <t>SC-075</t>
  </si>
  <si>
    <t>SURECOLOR T3770D DUAL ROLL 24 PS</t>
  </si>
  <si>
    <t>Gs. 43.890.000</t>
  </si>
  <si>
    <t>SC-076</t>
  </si>
  <si>
    <t>SURECOLOR T5170</t>
  </si>
  <si>
    <t>U$D 3.090</t>
  </si>
  <si>
    <t>U$D 3.190</t>
  </si>
  <si>
    <t>Gs. 20.490.000</t>
  </si>
  <si>
    <t>SC-077</t>
  </si>
  <si>
    <t>SURECOLOR T5170M</t>
  </si>
  <si>
    <t>U$D 5.290</t>
  </si>
  <si>
    <t>U$D 5.490</t>
  </si>
  <si>
    <t>Gs. 34.690.000</t>
  </si>
  <si>
    <t>SC-078</t>
  </si>
  <si>
    <t>SURECOLOR T7770D 44</t>
  </si>
  <si>
    <t>U$D 8.290</t>
  </si>
  <si>
    <t>U$D 8.590</t>
  </si>
  <si>
    <t>Gs. 54.590.000</t>
  </si>
  <si>
    <t>SC-079</t>
  </si>
  <si>
    <t>SURECOLOR T7770DL 44 INK BAG PS</t>
  </si>
  <si>
    <t>U$D 11.890</t>
  </si>
  <si>
    <t>U$D 12.390</t>
  </si>
  <si>
    <t>Gs. 77.690.000</t>
  </si>
  <si>
    <t>SC-080</t>
  </si>
  <si>
    <t>SURECOLOR T5475</t>
  </si>
  <si>
    <t>U$D 3.290</t>
  </si>
  <si>
    <t>U$D 3.390</t>
  </si>
  <si>
    <t>Gs. 21.890.000</t>
  </si>
  <si>
    <t>SC-081</t>
  </si>
  <si>
    <t>SURECOLOR T5470M</t>
  </si>
  <si>
    <t>Gs. 39.390.000</t>
  </si>
  <si>
    <t>SC-082</t>
  </si>
  <si>
    <t>SURECOLOR T5770D 36</t>
  </si>
  <si>
    <t>U$D 7.190</t>
  </si>
  <si>
    <t>U$D 7.490</t>
  </si>
  <si>
    <t>Gs. 47.090.000</t>
  </si>
  <si>
    <t>SC-083</t>
  </si>
  <si>
    <t>SURECOLOR T5770DM DUAL ROLL MFP 36</t>
  </si>
  <si>
    <t>U$D 13.190</t>
  </si>
  <si>
    <t>U$D 13.690</t>
  </si>
  <si>
    <t>Gs. 86.690.000</t>
  </si>
  <si>
    <t>SC-084</t>
  </si>
  <si>
    <t>SCT5475SR SURECOLOR 36</t>
  </si>
  <si>
    <t>U$D 3.490</t>
  </si>
  <si>
    <t>Gs. 22.390.000</t>
  </si>
  <si>
    <t>SC-085</t>
  </si>
  <si>
    <t>SURECOLOR F570</t>
  </si>
  <si>
    <t>SC-086</t>
  </si>
  <si>
    <t>SURECOLOR F1070</t>
  </si>
  <si>
    <t>Gs. 54.190.000</t>
  </si>
  <si>
    <t>Gs. 56.390.000</t>
  </si>
  <si>
    <t>SC-087</t>
  </si>
  <si>
    <t>SURECOLOR F1070 + HORNO DTF A3</t>
  </si>
  <si>
    <t>Gs. 58.090.000</t>
  </si>
  <si>
    <t>Gs. 60.490.000</t>
  </si>
  <si>
    <t>SC-088</t>
  </si>
  <si>
    <t>SURECOLOR F6470 PRINTER WITH STAND &amp; TAKEUP REEL SIN IVA</t>
  </si>
  <si>
    <t>U$D 7.690</t>
  </si>
  <si>
    <t>U$D 7.990</t>
  </si>
  <si>
    <t>Gs. 50.190.000</t>
  </si>
  <si>
    <t>SC-089</t>
  </si>
  <si>
    <t>SURECOLOR F6470 PRINTER WITH STAND &amp; TAKEUP REEL (NO INITIAL INK/UGK)</t>
  </si>
  <si>
    <t>U$D 9.290</t>
  </si>
  <si>
    <t>U$D 9.690</t>
  </si>
  <si>
    <t>Gs. 60.990.000</t>
  </si>
  <si>
    <t>SC-090</t>
  </si>
  <si>
    <t>SURECOLOR F6470H PRINTER WITH STAND &amp; TAKEUP REEL (NO INITIAL INK/UGK)</t>
  </si>
  <si>
    <t>U$D 9.390</t>
  </si>
  <si>
    <t>U$D 9.790</t>
  </si>
  <si>
    <t>Gs. 61.190.000</t>
  </si>
  <si>
    <t>SC-091</t>
  </si>
  <si>
    <t>INSUMOS</t>
  </si>
  <si>
    <t>KIT INICIACION F6470</t>
  </si>
  <si>
    <t>SC-092</t>
  </si>
  <si>
    <t>SURECOLOR F6470 IVA Y KIT</t>
  </si>
  <si>
    <t>U$D 9.990</t>
  </si>
  <si>
    <t>U$D 10.390</t>
  </si>
  <si>
    <t>Gs. 65.490.000</t>
  </si>
  <si>
    <t>SC-093</t>
  </si>
  <si>
    <t>F6470 + KIT SIN IVA</t>
  </si>
  <si>
    <t>U$D 9.490</t>
  </si>
  <si>
    <t>U$D 9.890</t>
  </si>
  <si>
    <t>Gs. 62.490.000</t>
  </si>
  <si>
    <t>SC-094</t>
  </si>
  <si>
    <t>SURECOLOR F3070 BASE UNIT</t>
  </si>
  <si>
    <t>U$D 70.090</t>
  </si>
  <si>
    <t>U$D 72.990</t>
  </si>
  <si>
    <t>Gs. 459.190.000</t>
  </si>
  <si>
    <t>SC-095</t>
  </si>
  <si>
    <t>SURECOLOR F9470 PRODUCTION EDITION</t>
  </si>
  <si>
    <t>U$D 27.390</t>
  </si>
  <si>
    <t>Gs. 179.390.000</t>
  </si>
  <si>
    <t>SC-096</t>
  </si>
  <si>
    <t>U$D 31.690</t>
  </si>
  <si>
    <t>U$D 32.990</t>
  </si>
  <si>
    <t>Gs. 207.890.000</t>
  </si>
  <si>
    <t>SC-097</t>
  </si>
  <si>
    <t>SCF9570PE - F9570 CON IVA</t>
  </si>
  <si>
    <t>U$D 30.690</t>
  </si>
  <si>
    <t>U$D 31.990</t>
  </si>
  <si>
    <t>Gs. 201.390.000</t>
  </si>
  <si>
    <t>SC-098</t>
  </si>
  <si>
    <t>SCF9570HPE - F9570H CON IVA</t>
  </si>
  <si>
    <t>U$D 30.790</t>
  </si>
  <si>
    <t>U$D 32.090</t>
  </si>
  <si>
    <t>Gs. 201.490.000</t>
  </si>
  <si>
    <t>SC-099</t>
  </si>
  <si>
    <t>SURECOLOR F10070H BASE PRINTER FOR LATIN AMERICA</t>
  </si>
  <si>
    <t>U$D 112.790</t>
  </si>
  <si>
    <t>U$D 117.490</t>
  </si>
  <si>
    <t>Gs. 739.090.000</t>
  </si>
  <si>
    <t>SC-100</t>
  </si>
  <si>
    <t>SURECOLOR F10070H OPT HEATER ROLL INK SYSTEM</t>
  </si>
  <si>
    <t>U$D 14.890</t>
  </si>
  <si>
    <t>Gs. 97.890.000</t>
  </si>
  <si>
    <t>SC-101</t>
  </si>
  <si>
    <t>SURECOLOR F2270 DIRECT TO GARMENT</t>
  </si>
  <si>
    <t>U$D 18.890</t>
  </si>
  <si>
    <t>U$D 19.690</t>
  </si>
  <si>
    <t>Gs. 123.990.000</t>
  </si>
  <si>
    <t>SC-102</t>
  </si>
  <si>
    <t>TINTA F6470 POR CAJA UNA CAJA TRAE 2 DEL MISMO COLOR</t>
  </si>
  <si>
    <t>SC-103</t>
  </si>
  <si>
    <t>CAJA F170 DE MANTENIMIENTO</t>
  </si>
  <si>
    <t>SC-104</t>
  </si>
  <si>
    <t>CAJA F570 DE MANTENIMIENTO</t>
  </si>
  <si>
    <t>SC-105</t>
  </si>
  <si>
    <t>TINTA F170 O F570 DE 140ML COLORES CY MG YE (CADA UNO) BOTELLITA</t>
  </si>
  <si>
    <t>SC-106</t>
  </si>
  <si>
    <t>ROLLO F570 PAPEL 30 METROS EPSON</t>
  </si>
  <si>
    <t>SC-107</t>
  </si>
  <si>
    <t>TINTA EPSON F6200 CON IVA</t>
  </si>
  <si>
    <t>Gs. 3.490.000</t>
  </si>
  <si>
    <t>Gs. 3.590.000</t>
  </si>
  <si>
    <t>SC-108</t>
  </si>
  <si>
    <t>TINTA EPSON F F6370 F9470 (UNA CAJA 6 UNIDADES) CON IVA</t>
  </si>
  <si>
    <t>Gs. 4.490.000</t>
  </si>
  <si>
    <t>Gs. 4.690.000</t>
  </si>
  <si>
    <t>SC-109</t>
  </si>
  <si>
    <t>SCG6070SE - G6070 CON IVA</t>
  </si>
  <si>
    <t>U$D 11.190</t>
  </si>
  <si>
    <t>U$D 11.690</t>
  </si>
  <si>
    <t>Gs. 73.390.000</t>
  </si>
  <si>
    <t>SC-110</t>
  </si>
  <si>
    <t>SCF9570PE - F9570 CON IVA PROMO</t>
  </si>
  <si>
    <t>U$D 24.190</t>
  </si>
  <si>
    <t>U$D 25.190</t>
  </si>
  <si>
    <t>Gs. 158.390.000</t>
  </si>
  <si>
    <t>SC-112</t>
  </si>
  <si>
    <t>U$D 28.190</t>
  </si>
  <si>
    <t>U$D 29.390</t>
  </si>
  <si>
    <t>Gs. 184.590.000</t>
  </si>
  <si>
    <t>SC-113</t>
  </si>
  <si>
    <t>SCF9570HPE - F9570H SIN IVA</t>
  </si>
  <si>
    <t>Gs. 184.690.000</t>
  </si>
  <si>
    <t>SC-114</t>
  </si>
  <si>
    <t>EPSON SURECOLOR F11070</t>
  </si>
  <si>
    <t>U$D 132.390</t>
  </si>
  <si>
    <t>U$D 137.890</t>
  </si>
  <si>
    <t>Gs. 867.290.000</t>
  </si>
  <si>
    <t>SC-115</t>
  </si>
  <si>
    <t>EPSON SURECOLOR F11070 MEJORADO 3 UNIDADES</t>
  </si>
  <si>
    <t>U$D 109.090</t>
  </si>
  <si>
    <t>U$D 113.590</t>
  </si>
  <si>
    <t>Gs. 714.390.000</t>
  </si>
  <si>
    <t>TC-001</t>
  </si>
  <si>
    <t>PRENSA TERMICA 60X40</t>
  </si>
  <si>
    <t>TC-002</t>
  </si>
  <si>
    <t>PRENSA TERMICA 38X38</t>
  </si>
  <si>
    <t>TC-003</t>
  </si>
  <si>
    <t>GRABADORA LASER 10W</t>
  </si>
  <si>
    <t>Gs. 6.190.000</t>
  </si>
  <si>
    <t>TC-004</t>
  </si>
  <si>
    <t>EJE ROTATIVO ESTANDAR</t>
  </si>
  <si>
    <t>Gs. 890.000</t>
  </si>
  <si>
    <t>TC-005</t>
  </si>
  <si>
    <t>GRABADORA LASER 20W</t>
  </si>
  <si>
    <t>TC-006</t>
  </si>
  <si>
    <t>PATITAS BASE</t>
  </si>
  <si>
    <t>TC-007</t>
  </si>
  <si>
    <t>COMPRESOR DE AIRE</t>
  </si>
  <si>
    <t>Gs. 590.000</t>
  </si>
  <si>
    <t>TC-009</t>
  </si>
  <si>
    <t>PRENSA TAZA COMUN 11 OZ</t>
  </si>
  <si>
    <t>TC-010</t>
  </si>
  <si>
    <t>TRANSFER TAZAS DOBLE</t>
  </si>
  <si>
    <t>Gs. 1.290.000</t>
  </si>
  <si>
    <t>TC-011</t>
  </si>
  <si>
    <t>EJE ROTATIVO PRO</t>
  </si>
  <si>
    <t>Gs. 1.590.000</t>
  </si>
  <si>
    <t>TC-012</t>
  </si>
  <si>
    <t>PRENSA 8 EN 1</t>
  </si>
  <si>
    <t>Gs. 2.490.000</t>
  </si>
  <si>
    <t>TC-013</t>
  </si>
  <si>
    <t>PRENSA 11 EN 1</t>
  </si>
  <si>
    <t>Gs. 3.890.000</t>
  </si>
  <si>
    <t>TC-014</t>
  </si>
  <si>
    <t>PRENSA 15 EN 1</t>
  </si>
  <si>
    <t>Gs. 4.390.000</t>
  </si>
  <si>
    <t>Gs. 4.590.000</t>
  </si>
  <si>
    <t>TC-015</t>
  </si>
  <si>
    <t>PRENSA 6 EN 1</t>
  </si>
  <si>
    <t>Gs. 2.390.000</t>
  </si>
  <si>
    <t>TC-016</t>
  </si>
  <si>
    <t>PRENSA BOLIGRAFOS</t>
  </si>
  <si>
    <t>Gs. 1.490.000</t>
  </si>
  <si>
    <t>TC-017</t>
  </si>
  <si>
    <t>TINTA LITRO SUBLI CY MG YE</t>
  </si>
  <si>
    <t>TC-018</t>
  </si>
  <si>
    <t>TINTA LITRO SUBLI BK</t>
  </si>
  <si>
    <t>TC-019</t>
  </si>
  <si>
    <t>RESMA DE PAPEL A4</t>
  </si>
  <si>
    <t>Gs. -10.000</t>
  </si>
  <si>
    <t>TC-020</t>
  </si>
  <si>
    <t>RESMA DE PAPEL A4 PREMIUM</t>
  </si>
  <si>
    <t>TC-021</t>
  </si>
  <si>
    <t>HORNO DTF A3</t>
  </si>
  <si>
    <t>TC-022</t>
  </si>
  <si>
    <t>CAMEO 5</t>
  </si>
  <si>
    <t>TC-024</t>
  </si>
  <si>
    <t>DTF 60CM 100 METROS</t>
  </si>
  <si>
    <t>TC-025</t>
  </si>
  <si>
    <t>POLVO DTF KILO</t>
  </si>
  <si>
    <t>TC-026</t>
  </si>
  <si>
    <t>BORDADORA JANOME MC400E</t>
  </si>
  <si>
    <t>Gs. 11.190.000</t>
  </si>
  <si>
    <t>Gs. 11.690.000</t>
  </si>
  <si>
    <t>TC-027</t>
  </si>
  <si>
    <t>BORDADORA JANOME MC500E</t>
  </si>
  <si>
    <t>Gs. 12.890.000</t>
  </si>
  <si>
    <t>TC-028</t>
  </si>
  <si>
    <t>BORDADORA JANOME MC550E</t>
  </si>
  <si>
    <t>Gs. 14.790.000</t>
  </si>
  <si>
    <t>TC-029</t>
  </si>
  <si>
    <t>BORDADORA JANOME MB7</t>
  </si>
  <si>
    <t>Gs. 51.290.000</t>
  </si>
  <si>
    <t>Gs. 53.390.000</t>
  </si>
  <si>
    <t>TC-030</t>
  </si>
  <si>
    <t>BORDADORA INDUSTRIAL WILPEX WP121C</t>
  </si>
  <si>
    <t>U$D 7.390</t>
  </si>
  <si>
    <t>Gs. 46.090.000</t>
  </si>
  <si>
    <t>TC-031</t>
  </si>
  <si>
    <t>OVERLOCK FLIAR WILPEX WP334</t>
  </si>
  <si>
    <t>TC-032</t>
  </si>
  <si>
    <t>COLLERETA Y OVERLOCK 5 HILOS WILPEX FLIAR</t>
  </si>
  <si>
    <t>TC-034</t>
  </si>
  <si>
    <t>CAMEO 15 PULGADAS</t>
  </si>
  <si>
    <t>Gs. 4.890.000</t>
  </si>
  <si>
    <t>TC-035</t>
  </si>
  <si>
    <t>CAMEO 24 PULGADAS</t>
  </si>
  <si>
    <t>Gs. 5.790.000</t>
  </si>
  <si>
    <t>Gs. 5.990.000</t>
  </si>
  <si>
    <t>TC-036</t>
  </si>
  <si>
    <t>CORTADORA DE PLOTTER WILPPEX 75CM</t>
  </si>
  <si>
    <t>Gs. 4.190.000</t>
  </si>
  <si>
    <t>TC-037</t>
  </si>
  <si>
    <t>PRENSA TAZAS DOBLE</t>
  </si>
  <si>
    <t>TC-038</t>
  </si>
  <si>
    <t>PRENSA TAZAS 5 EN 1</t>
  </si>
  <si>
    <t>TC-039</t>
  </si>
  <si>
    <t>BORDADORA WILPEX IND 15 AGUJAS SMART</t>
  </si>
  <si>
    <t>Gs. 46.790.000</t>
  </si>
  <si>
    <t>TC-040</t>
  </si>
  <si>
    <t>PRENSA MANUAL 100X80</t>
  </si>
  <si>
    <t>Gs. 16.590.000</t>
  </si>
  <si>
    <t>TC-041</t>
  </si>
  <si>
    <t>DOBLE BANDEJA</t>
  </si>
  <si>
    <t>U$D 6.390</t>
  </si>
  <si>
    <t>Gs. 39.590.000</t>
  </si>
  <si>
    <t>TC-042</t>
  </si>
  <si>
    <t>CALANDRA 1.7 ROLLO A ROLLO</t>
  </si>
  <si>
    <t>U$D 16.990</t>
  </si>
  <si>
    <t>U$D 17.690</t>
  </si>
  <si>
    <t>Gs. 105.190.000</t>
  </si>
  <si>
    <t>TC-043</t>
  </si>
  <si>
    <t>CALANDRA 1.8</t>
  </si>
  <si>
    <t>U$D 6.290</t>
  </si>
  <si>
    <t>U$D 6.590</t>
  </si>
  <si>
    <t>Gs. 38.990.000</t>
  </si>
  <si>
    <t>TC-044</t>
  </si>
  <si>
    <t>EPSON F570+100X80+MULTI+OVERLOCK+COLLARETA FLIAR</t>
  </si>
  <si>
    <t>U$D 6.490</t>
  </si>
  <si>
    <t>U$D 6.790</t>
  </si>
  <si>
    <t>Gs. 39.990.000</t>
  </si>
  <si>
    <t>TC-045</t>
  </si>
  <si>
    <t>MAQUINA DE COSER RECTA IND WILPEX</t>
  </si>
  <si>
    <t>U$D 390</t>
  </si>
  <si>
    <t>TC-046</t>
  </si>
  <si>
    <t>MAQUINA DE COSER OVERLOCK IND WILPEX</t>
  </si>
  <si>
    <t>U$D 690</t>
  </si>
  <si>
    <t>TC-047</t>
  </si>
  <si>
    <t>MAQUINA DE COSER COLLARETA IND WILPEX</t>
  </si>
  <si>
    <t>U$D 890</t>
  </si>
  <si>
    <t>Gs. 5.290.000</t>
  </si>
  <si>
    <t>CMB-001</t>
  </si>
  <si>
    <t>COMBO: IMPRESORA EPSON F170 + CAMEO 5</t>
  </si>
  <si>
    <t>CMB-002</t>
  </si>
  <si>
    <t>COMBO: IMPRESORA EPSON F170 + PRENSA 8 EN 1</t>
  </si>
  <si>
    <t>Gs. 5.090.000</t>
  </si>
  <si>
    <t>CMB-003</t>
  </si>
  <si>
    <t>COMBO: IMPRESORA EPSON L1250 + PRENSA 8 EN 1 + GRABADORA LASER 10W</t>
  </si>
  <si>
    <t>Gs. 10.290.000</t>
  </si>
  <si>
    <t>CMB-004</t>
  </si>
  <si>
    <t>COMBO: IMPRESORA EPSON L1250 + SCANCUT SDX125 + PRENSA 8 EN 1</t>
  </si>
  <si>
    <t>Gs. 6.590.000</t>
  </si>
  <si>
    <t>Gs. 6.890.000</t>
  </si>
  <si>
    <t>CMB-005</t>
  </si>
  <si>
    <t>COMBO: IMPRESORA EPSON F170 + PRENSA 8 EN 1 + CAMEO 5</t>
  </si>
  <si>
    <t>Gs. 8.090.000</t>
  </si>
  <si>
    <t>Gs. 8.390.000</t>
  </si>
  <si>
    <t>CMB-006</t>
  </si>
  <si>
    <t>COMBO: IMPRESORA EPSON F170 + PRENSA 8 EN 1 + GRABADORA LASER 10W</t>
  </si>
  <si>
    <t>CMB-007</t>
  </si>
  <si>
    <t>COMBO: IMPRESORA EPSON F170 + SCANCUT SDX125 + PRENSA 8 EN 1</t>
  </si>
  <si>
    <t>Gs. 8.190.000</t>
  </si>
  <si>
    <t>CMB-008</t>
  </si>
  <si>
    <t>COMBO: IMPRESORA EPSON L121 + PRENSA 8 EN 1</t>
  </si>
  <si>
    <t>CMB-009</t>
  </si>
  <si>
    <t>COMBO: IMPRESORA EPSON L1250 + BORDADORA BROTHER NV970LPA 2 EN 1 BORDA Y COSE 10 + PRENSA 8 EN 1</t>
  </si>
  <si>
    <t>Gs. 8.790.000</t>
  </si>
  <si>
    <t>Gs. 9.190.000</t>
  </si>
  <si>
    <t>CMB-010</t>
  </si>
  <si>
    <t>COMBO: IMPRESORA EPSON L1250 + CAMEO 5 + GRABADORA LASER 10W</t>
  </si>
  <si>
    <t>Gs. 10.590.000</t>
  </si>
  <si>
    <t>Gs. 10.990.000</t>
  </si>
  <si>
    <t>CMB-011</t>
  </si>
  <si>
    <t>COMBO: IMPRESORA EPSON L1250 + PRENSA 8 EN 1</t>
  </si>
  <si>
    <t>CMB-012</t>
  </si>
  <si>
    <t>COMBO: SCANCUT SDX125 + PRENSA TERMICA 38X38</t>
  </si>
  <si>
    <t>Gs. 4.790.000</t>
  </si>
  <si>
    <t>CMB-013</t>
  </si>
  <si>
    <t>COMBO: IMPRESORA EPSON F170 + CAMEO 5 + GRABADORA LASER 10W</t>
  </si>
  <si>
    <t>Gs. 11.890.000</t>
  </si>
  <si>
    <t>Gs. 12.390.000</t>
  </si>
  <si>
    <t>CMB-014</t>
  </si>
  <si>
    <t>COMBO: IMPRESORA EPSON F170 + PRENSA 11 EN 1</t>
  </si>
  <si>
    <t>CMB-015</t>
  </si>
  <si>
    <t>COMBO: IMPRESORA EPSON L1250 + PRENSA TAZA COMUN 11 OZ</t>
  </si>
  <si>
    <t>CMB-016</t>
  </si>
  <si>
    <t>COMBO: IMPRESORA EPSON L121 + PRENSA 11 EN 1</t>
  </si>
  <si>
    <t>CMB-017</t>
  </si>
  <si>
    <t>COMBO: IMPRESORA EPSON L1250 + PRENSA 11 EN 1</t>
  </si>
  <si>
    <t>CMB-018</t>
  </si>
  <si>
    <t>COMBO: IMPRESORA EPSON F170 + PRENSA 15 EN 1</t>
  </si>
  <si>
    <t>Gs. 7.190.000</t>
  </si>
  <si>
    <t>CMB-019</t>
  </si>
  <si>
    <t>COMBO: IMPRESORA EPSON L121 + PRENSA 15 EN 1</t>
  </si>
  <si>
    <t>CMB-020</t>
  </si>
  <si>
    <t>COMBO: IMPRESORA EPSON L1250 + PRENSA 15 EN 1</t>
  </si>
  <si>
    <t>Gs. 5.590.000</t>
  </si>
  <si>
    <t>CMB-022</t>
  </si>
  <si>
    <t>COMBO: IMPRESORA EPSON L121 + PRENSA 8 EN 1 + CAMEO 5</t>
  </si>
  <si>
    <t>CMB-023</t>
  </si>
  <si>
    <t>COMBO: IMPRESORA EPSON L1250 + PRENSA 8 EN 1 + CAMEO 5</t>
  </si>
  <si>
    <t>Gs. 6.790.000</t>
  </si>
  <si>
    <t>Gs. 7.090.000</t>
  </si>
  <si>
    <t>CMB-024</t>
  </si>
  <si>
    <t>COMBO: GRABADORA LASER 10W + PATITAS BASE + EJE ROTATIVO ESTANDAR + COMPRESOR DE AIRE</t>
  </si>
  <si>
    <t>Gs. 7.990.000</t>
  </si>
  <si>
    <t>Gs. 8.290.000</t>
  </si>
  <si>
    <t>FECHA</t>
  </si>
  <si>
    <t>DESCRIPCION</t>
  </si>
  <si>
    <t>CLIENTE</t>
  </si>
  <si>
    <t>PRECIO GS</t>
  </si>
  <si>
    <t>PRECIO USD</t>
  </si>
  <si>
    <t>NRO_FACTURA</t>
  </si>
  <si>
    <t>VENDEDOR</t>
  </si>
  <si>
    <t>FORMA PAGO</t>
  </si>
  <si>
    <t>05-01-2026</t>
  </si>
  <si>
    <t>1 TINTA CYAN S40600</t>
  </si>
  <si>
    <t>WIDMER GRAPHIC</t>
  </si>
  <si>
    <t>ALBERTO</t>
  </si>
  <si>
    <t>TRANS</t>
  </si>
  <si>
    <t>2 TINTAS CYAN, 2 MAGENTA, 2 YELLOW F6470</t>
  </si>
  <si>
    <t>TECNOTEXTIL E.A.S</t>
  </si>
  <si>
    <t>4 TINTAS F9470, CYAN, MAGENTA, YELLOW, HDK</t>
  </si>
  <si>
    <t>JESSI LENS S.R.L</t>
  </si>
  <si>
    <t>2 TINTAS YELLOW, 1 CYAN, 1 HDK F10070</t>
  </si>
  <si>
    <t>LUAN DEPORTES S.A</t>
  </si>
  <si>
    <t>06-01-2026</t>
  </si>
  <si>
    <t>1 ACEPTACION DE PAGO</t>
  </si>
  <si>
    <t>EPSON ARGENTINA</t>
  </si>
  <si>
    <t>JAVIER</t>
  </si>
  <si>
    <t>08-01-2026</t>
  </si>
  <si>
    <t>2 TINTAS CYAN F10070</t>
  </si>
  <si>
    <t>GRUPO UTEX E.A.S</t>
  </si>
  <si>
    <t>1 TINTA MAGENTA S40600</t>
  </si>
  <si>
    <t>JUAN RAMON ROMAN</t>
  </si>
  <si>
    <t>6 TINTAS CYAN, 8 YELLOW F6470</t>
  </si>
  <si>
    <t>09-01-2026</t>
  </si>
  <si>
    <t>1 TINTA EPSON HDK F6470</t>
  </si>
  <si>
    <t>DIVINO NIÑO</t>
  </si>
  <si>
    <t>MAURO</t>
  </si>
  <si>
    <t>EFECTIVO</t>
  </si>
  <si>
    <t>1 BORDADORA BROTHER PR680</t>
  </si>
  <si>
    <t>REINA BENITEZ</t>
  </si>
  <si>
    <t>DEPOSITO</t>
  </si>
  <si>
    <t/>
  </si>
  <si>
    <t>ANULADO</t>
  </si>
  <si>
    <t>COMBO F170+15EN1+CAMEO5</t>
  </si>
  <si>
    <t>DIEGO BORDON</t>
  </si>
  <si>
    <t>12-01-2026</t>
  </si>
  <si>
    <t>LASER DE 20W COMPLETO</t>
  </si>
  <si>
    <t>2 TINTAS YELLOW, 2 CYAN, 1 WIPWE F10070</t>
  </si>
  <si>
    <t>1 TINTA CYAN F6470</t>
  </si>
  <si>
    <t>MIRTHA ELIZABETH</t>
  </si>
  <si>
    <t>SPIFF POR VENTA DE F6470</t>
  </si>
  <si>
    <t>4 TINTAS MAGENTA F6470</t>
  </si>
  <si>
    <t>4 TINTAS CYAN, 2 YELLOW F6470</t>
  </si>
  <si>
    <t>EVELYN MARTINEZ</t>
  </si>
  <si>
    <t>13-01-2026</t>
  </si>
  <si>
    <t>1 TINTA NEGRO, 1 TINTA MAGENTA F6470</t>
  </si>
  <si>
    <t>EUCLIDES JABIER VERA</t>
  </si>
  <si>
    <t>1 COMBO L1250+8EN1</t>
  </si>
  <si>
    <t>GABRIELA SALGUEIRO</t>
  </si>
  <si>
    <t>COMBO F170+8EN1</t>
  </si>
  <si>
    <t>PASCUALA DAVALOS</t>
  </si>
  <si>
    <t>OSVAL JIMENEZ</t>
  </si>
  <si>
    <t>15-01-2026</t>
  </si>
  <si>
    <t>2 TINTAS EPSON HDK F6370</t>
  </si>
  <si>
    <t>ROBERTO DUTRA</t>
  </si>
  <si>
    <t>16-01-2026</t>
  </si>
  <si>
    <t>SERVICIO TECNICO</t>
  </si>
  <si>
    <t>1 EPSON F170</t>
  </si>
  <si>
    <t>ANGEL ALMADA</t>
  </si>
  <si>
    <t>1 JUEGO DE TINTA F6470</t>
  </si>
  <si>
    <t>ALCIDES VALDEZ</t>
  </si>
  <si>
    <t>3 TINTAS YELLOW F10070</t>
  </si>
  <si>
    <t>19-01-2026</t>
  </si>
  <si>
    <t>1 COMBO F170+8EN1</t>
  </si>
  <si>
    <t>HUGO RENE GARAY</t>
  </si>
  <si>
    <t>1 COMBO L121+11EN1</t>
  </si>
  <si>
    <t>OSCAR SAMUDIO</t>
  </si>
  <si>
    <t>1 COMBO DE F170+11EN1+LASER 20W COMPELTO</t>
  </si>
  <si>
    <t>NAYELI LEDESMA</t>
  </si>
  <si>
    <t>1 TINTA CYAN, 1 MAGENTA, 1 HDK F6470</t>
  </si>
  <si>
    <t>ARNALDO CORONEL</t>
  </si>
  <si>
    <t>20-01-2026</t>
  </si>
  <si>
    <t>2 TINTAS CYAN, 1 MAGENTA, 1 HDK F6470</t>
  </si>
  <si>
    <t>GRUPO VIBER E.A.S</t>
  </si>
  <si>
    <t>21-01-2026</t>
  </si>
  <si>
    <t>1 CAJA DE MANTENIMIENTO F170</t>
  </si>
  <si>
    <t>DAIANA ALBINO</t>
  </si>
  <si>
    <t>1 COMBO L121+8EN1</t>
  </si>
  <si>
    <t>LUIS CASCO</t>
  </si>
  <si>
    <t>1 COMBO F170+11EN1+LASER DE 20W</t>
  </si>
  <si>
    <t>CARLOS FERREIRA</t>
  </si>
  <si>
    <t>3 TINTAS F6470, CYAN, MAGENTA, HDK</t>
  </si>
  <si>
    <t>CYV COMPANY E.A.S</t>
  </si>
  <si>
    <t>1 CAJA F170</t>
  </si>
  <si>
    <t>LUJAN FERNANDEZ</t>
  </si>
  <si>
    <t>1 8 EN 1</t>
  </si>
  <si>
    <t>ANGEL BAUMANN</t>
  </si>
  <si>
    <t>1 F170+11EN1</t>
  </si>
  <si>
    <t>JULIO CESAR BENITEZ</t>
  </si>
  <si>
    <t>22-01-2026</t>
  </si>
  <si>
    <t>1 TINTA YELLOW, 1 TINTA MAGENTA F10070</t>
  </si>
  <si>
    <t>1 BORDADORA PE910L</t>
  </si>
  <si>
    <t>2 TINTAS CYAN F9470</t>
  </si>
  <si>
    <t>JESSY LENS S.R.L</t>
  </si>
  <si>
    <t>27-01-2026</t>
  </si>
  <si>
    <t>2 TINTAS CYAN Y YELLOW F6370, 1 TINTA HDK F170</t>
  </si>
  <si>
    <t>SPORT LOVERS S.A</t>
  </si>
  <si>
    <t>28-01-2026</t>
  </si>
  <si>
    <t>1 CAJA F170+CINTA TERMICA</t>
  </si>
  <si>
    <t>AMADO BOGADO</t>
  </si>
  <si>
    <t>1 COMBO F170+11EN1+REMAA4</t>
  </si>
  <si>
    <t>FATIMA GOMEZ</t>
  </si>
  <si>
    <t>3 TINTAS CYAN, 2 HDK, 1 MAGENTA F10070</t>
  </si>
  <si>
    <t>1 CAJA F570</t>
  </si>
  <si>
    <t>JUANA CARDOZO</t>
  </si>
  <si>
    <t>1 KIT TINTA F170+1 RESMA A4</t>
  </si>
  <si>
    <t>29-01-2026</t>
  </si>
  <si>
    <t>CANCELACION COMPRA G6070+HORNO DTF</t>
  </si>
  <si>
    <t>MARIO GODOY</t>
  </si>
  <si>
    <t>30-01-2026</t>
  </si>
  <si>
    <t>1 IMPRESORA F9570</t>
  </si>
  <si>
    <t>BRUPO VARGAS S.R.L</t>
  </si>
  <si>
    <t>2 TINTAS F170</t>
  </si>
  <si>
    <t>CARLOS MENDOZA</t>
  </si>
  <si>
    <t>8 SACHES TINTA F6470: 2 CYAN, 2 MAGENTA, 2 YELLOW, 2 HDK</t>
  </si>
  <si>
    <t>OSVAL GIMENEZ</t>
  </si>
  <si>
    <t>25-01-2026</t>
  </si>
  <si>
    <t>2 TINTAS YELLOW F10070</t>
  </si>
  <si>
    <t>1 11 EN 1</t>
  </si>
  <si>
    <t>BEATRIZ ORTIZ</t>
  </si>
  <si>
    <t>02-02-2026</t>
  </si>
  <si>
    <t>1 COMBO F170+11EN1+CAMEO5+PRENSA60X40</t>
  </si>
  <si>
    <t>JUANA ALARCON</t>
  </si>
  <si>
    <t>2 ROLLOS DE PAPEL F570</t>
  </si>
  <si>
    <t>ELIANA LOPEZ</t>
  </si>
  <si>
    <t>1 COMBO L121+8EN1+RESMA A4</t>
  </si>
  <si>
    <t>LEYDI GONZALEZ</t>
  </si>
  <si>
    <t>03-02-2026</t>
  </si>
  <si>
    <t>2 TINTAS F6470 HDK, 2 TINTAS MAGENTA F6470</t>
  </si>
  <si>
    <t>05-02-2026</t>
  </si>
  <si>
    <t>1 TINTA HDK F170+1 CAJA F170</t>
  </si>
  <si>
    <t>ROMINA FIGUEREDO</t>
  </si>
  <si>
    <t>16 TINTAS F6470: 8 CYAN, 4 HDK, 4 MAGENTA</t>
  </si>
  <si>
    <t>TEXNOTEXTIL E.A.S</t>
  </si>
  <si>
    <t>CREDITO</t>
  </si>
  <si>
    <t>1 TINTA DE 100 ML SUBLIMACION</t>
  </si>
  <si>
    <t>MARIA VALENZUELA</t>
  </si>
  <si>
    <t>06-02-2026</t>
  </si>
  <si>
    <t>2 TINTAS F9470 YELLOW, MAGENTA, 1 F6200 CYAN</t>
  </si>
  <si>
    <t>GRUPO VARGAS S.R.L</t>
  </si>
  <si>
    <t>GRACIELA OVIEDO</t>
  </si>
  <si>
    <t>4 TINTAS F6470: CYAN, MAGENTA, YELLOW, HDK</t>
  </si>
  <si>
    <t>09-02-2026</t>
  </si>
  <si>
    <t>MARIA ARRANZ</t>
  </si>
  <si>
    <t>TARJETA</t>
  </si>
  <si>
    <t>1 WIPER F6470</t>
  </si>
  <si>
    <t>6 TINTAS F9470: 2 CYAN, 2 MAGENTA, 2 HDK</t>
  </si>
  <si>
    <t>10-02-2026</t>
  </si>
  <si>
    <t>2 TINTAS S40600: 1 CYAN, 1 YELLOW</t>
  </si>
  <si>
    <t>1 EPSON L1250</t>
  </si>
  <si>
    <t>FULVIA CACERES</t>
  </si>
  <si>
    <t>11-02-2026</t>
  </si>
  <si>
    <t>1 COMBO F170+15EN1</t>
  </si>
  <si>
    <t>LIDIA SAAVEDRA</t>
  </si>
  <si>
    <t>12-02-2026</t>
  </si>
  <si>
    <t>2 TINTAS F170: HDK, YELLOW</t>
  </si>
  <si>
    <t>ROMINA BORJA</t>
  </si>
  <si>
    <t>3 TINTAS F6470: CYAN, MAGENTA, YELLOW</t>
  </si>
  <si>
    <t>ALBERT COMERCIAL</t>
  </si>
  <si>
    <t>SERVICIO Y REPUESTOS</t>
  </si>
  <si>
    <t>3 TINTAS F9470: CYAN, MAGENTA, YELLOW</t>
  </si>
  <si>
    <t>13-02-2026</t>
  </si>
  <si>
    <t>INDUSTRIAS FYC S.R.L</t>
  </si>
  <si>
    <t>2 TINTAS F6470: CYAN, YELLOW</t>
  </si>
  <si>
    <t>16-02-2026</t>
  </si>
  <si>
    <t>2 TINTAS S40600: CYAN, YELLOW</t>
  </si>
  <si>
    <t>IRENE MERELES</t>
  </si>
  <si>
    <t>1 IMPRESORA EPSON F6470 PROMO</t>
  </si>
  <si>
    <t>DERLIS SALINAS</t>
  </si>
  <si>
    <t>17-02-2026</t>
  </si>
  <si>
    <t>2 CYAN, 2 YELLOW, 2 MAGENTA, 2 HDK F9470</t>
  </si>
  <si>
    <t>18-02-2026</t>
  </si>
  <si>
    <t>2 TINTAS F6470: MAGENTA, HDK</t>
  </si>
  <si>
    <t>8 MAGENTA, 6 HDK, 6 CYAN, 4 YELLOW F6370</t>
  </si>
  <si>
    <t>SERGIO GRECO</t>
  </si>
  <si>
    <t>1 TINTA CYAN, 1 TINTA YELLOW</t>
  </si>
  <si>
    <t>EUCLIDES VERA</t>
  </si>
  <si>
    <t>19-02-2026</t>
  </si>
  <si>
    <t>2 MAGENTA, 1 HDK, 2 YELLOW, 3 CYAN F10070</t>
  </si>
  <si>
    <t>2 TINTAS F6470: CYAN, MAGENTA</t>
  </si>
  <si>
    <t>EVA PRIETO</t>
  </si>
  <si>
    <t>20-02-2026</t>
  </si>
  <si>
    <t>EVANGELICA FRANCO</t>
  </si>
  <si>
    <t>1 TINTA YELLOW F10070</t>
  </si>
  <si>
    <t>23-02-2026</t>
  </si>
  <si>
    <t>2 TINTAS F6470: HDK, YELLOW</t>
  </si>
  <si>
    <t>1 TINTA CYAN F6470 PROMO</t>
  </si>
  <si>
    <t>SIN NOMBRE</t>
  </si>
  <si>
    <t>24-02-2026</t>
  </si>
  <si>
    <t>GRUPO VIBE E.A.S</t>
  </si>
  <si>
    <t>ISIDRO RUIZ DIAZ</t>
  </si>
  <si>
    <t>4 CYAN, 4 HDK, 4 MAGENTA, 2 YELLOW F9470</t>
  </si>
  <si>
    <t>1 CAJA DE MANTENIMIENTO F170+CINTA</t>
  </si>
  <si>
    <t>TANIA RIQUELME</t>
  </si>
  <si>
    <t>25-02-2026</t>
  </si>
  <si>
    <t>2 CYAN, 2 HDK F6470</t>
  </si>
  <si>
    <t>26-02-2026</t>
  </si>
  <si>
    <t>1 KIT TINTA F170</t>
  </si>
  <si>
    <t>MARIO GONZALEZ</t>
  </si>
  <si>
    <t>4 YELLOW, 3 CYAN F10070</t>
  </si>
  <si>
    <t>1 COMBO F170+11EN1</t>
  </si>
  <si>
    <t>LILIANA LOPEZ</t>
  </si>
  <si>
    <t>27-02-2026</t>
  </si>
  <si>
    <t>2 CYAN, 1 YELLOW F9470</t>
  </si>
  <si>
    <t>1 TINTA NEGRA F170</t>
  </si>
  <si>
    <t>ANALIA CANDIA</t>
  </si>
  <si>
    <t>AZZIO CREACIONES E.A.S</t>
  </si>
  <si>
    <t>04-03-2026</t>
  </si>
  <si>
    <t>8 TINTA MAGENTA, 8 HDK, 6 CYAN F6470</t>
  </si>
  <si>
    <t>ADALBERTO DUARTE</t>
  </si>
  <si>
    <t>05-03-2026</t>
  </si>
  <si>
    <t>YANINA SCHUARTZMAN</t>
  </si>
  <si>
    <t>06-03-2026</t>
  </si>
  <si>
    <t>1 EPSON F570+ROLLO DE 30 MTS</t>
  </si>
  <si>
    <t>URUTAU E.A.S</t>
  </si>
  <si>
    <t>3 TINTAS F10070: CYAN, MAGENTA, YELLOW</t>
  </si>
  <si>
    <t>09-03-2026</t>
  </si>
  <si>
    <t>1 ROLLO DE PAPEL F570</t>
  </si>
  <si>
    <t>TAMARA SOSA</t>
  </si>
  <si>
    <t>1 TINTA YELLOW F6470</t>
  </si>
  <si>
    <t>FANY BENITEZ</t>
  </si>
  <si>
    <t>ACEPTACION DE PAGO EPSON</t>
  </si>
  <si>
    <t>2 TINTAS HDK F6470, 1 TINTA CYAN F6470</t>
  </si>
  <si>
    <t>12-03-2026</t>
  </si>
  <si>
    <t>1 TINTA MAGENTA, 1 YELLOW, 1 HDK F6470</t>
  </si>
  <si>
    <t>4 YELLOW, 3 MAGENTA, 2 CYAN, 2 HDK TINTA F10070</t>
  </si>
  <si>
    <t>PROMO IMPRESORA F6470+PRENSA 100X80</t>
  </si>
  <si>
    <t>DRUID SPORT E.A.S</t>
  </si>
  <si>
    <t>3 TINTA YELLOW, 2 CYAN F6470</t>
  </si>
  <si>
    <t>13-03-2026</t>
  </si>
  <si>
    <t>2 TINTAS BLANCO F2270, 1 LIQUIDO F2270</t>
  </si>
  <si>
    <t>HERNAN VIERA</t>
  </si>
  <si>
    <t>4 ROLLOS DE PAPEL F570</t>
  </si>
  <si>
    <t>1 TINTA CYAN, 1 MAGENTA, 1 YELLOW F6470</t>
  </si>
  <si>
    <t>16-03-2026</t>
  </si>
  <si>
    <t>1 BORDADORA BROTHER BP1530L</t>
  </si>
  <si>
    <t>MARLENE DUARTE</t>
  </si>
  <si>
    <t>4 TINTAS CYAN, 4 MAGENTA, 4 YELLOW, 4 HDK F9470</t>
  </si>
  <si>
    <t>CARLOS BOGADO</t>
  </si>
  <si>
    <t>1 TINTA MAGENTA, 1 YELLOW F9470</t>
  </si>
  <si>
    <t>1 TINTA BLANCA G6070</t>
  </si>
  <si>
    <t>17-03-2026</t>
  </si>
  <si>
    <t>18-03-2026</t>
  </si>
  <si>
    <t>1 TINTA CYAN, 1 YELLOW F6470</t>
  </si>
  <si>
    <t>RONALD ORTIZ</t>
  </si>
  <si>
    <t>2 TINTAS CYAN F9570</t>
  </si>
  <si>
    <t>19-03-2026</t>
  </si>
  <si>
    <t>FABIANA AGUILERA</t>
  </si>
  <si>
    <t>1 TINTA CYAN F6370</t>
  </si>
  <si>
    <t>INTER GROUP S.A</t>
  </si>
  <si>
    <t>1 EPSON F6470 PROMO</t>
  </si>
  <si>
    <t>MARIO BAEZ</t>
  </si>
  <si>
    <t>20-03-2026</t>
  </si>
  <si>
    <t>1 COMBO F170+11EN1+LASER DE 10W CON ACCESORIOS</t>
  </si>
  <si>
    <t>LILIAN FLORENTIN</t>
  </si>
  <si>
    <t>23-03-2026</t>
  </si>
  <si>
    <t>6 TINTA CYAN F6470</t>
  </si>
  <si>
    <t>LETICIA IGLESIA COLMAN</t>
  </si>
  <si>
    <t>24-03-2026</t>
  </si>
  <si>
    <t>1 LASER DE 10W+EJE ROTATIVO+PATITAS</t>
  </si>
  <si>
    <t>IRENEO MERELES</t>
  </si>
  <si>
    <t>TC</t>
  </si>
  <si>
    <t>25-03-2026</t>
  </si>
  <si>
    <t>1 EPSON F6470+CALANDRA</t>
  </si>
  <si>
    <t>2 TINTAS F6470: HDK, MAGENTA</t>
  </si>
  <si>
    <t>2 TINTAS F9470: CYAN, MAGENTA</t>
  </si>
  <si>
    <t>1 TINTA YELLOW, 1 HDK F10070</t>
  </si>
  <si>
    <t>27-03-2026</t>
  </si>
  <si>
    <t>1 EPSON 6470+PRENSA100X80+NOTEBOOK+UPS</t>
  </si>
  <si>
    <t>ANGEL GODOY</t>
  </si>
  <si>
    <t>2 TINTAS YELLOW, 1 MAGENTA, 1 CYAN, 1 HDK F6470</t>
  </si>
  <si>
    <t>ALCIDEZ VALDEZ</t>
  </si>
  <si>
    <t>MARIO ANDRES BAEZ</t>
  </si>
  <si>
    <t>CHEQUE</t>
  </si>
  <si>
    <t>1 TINTA EPSON HDK F170</t>
  </si>
  <si>
    <t>ALBERTO RAMIRES</t>
  </si>
  <si>
    <t>1 COMPRESOR DE AIRE LASER 10W</t>
  </si>
  <si>
    <t>ARIANE CONTRERA</t>
  </si>
  <si>
    <t>QR</t>
  </si>
  <si>
    <t>30-03-2026</t>
  </si>
  <si>
    <t>2 TINTAS S40600: MAGENTA, HDK</t>
  </si>
  <si>
    <t>4 TINTAS CYAN, 4 MAGENTA, 4 HDK, 2 YELLOW F9470</t>
  </si>
  <si>
    <t>MANUEL AGUILAR</t>
  </si>
  <si>
    <t>31-03-2026</t>
  </si>
  <si>
    <t>1 SEÑA POR F6470 PROMO</t>
  </si>
  <si>
    <t>ALEJANDRO HERMOSILLA</t>
  </si>
  <si>
    <t>1 TINTA YELLOW S40600</t>
  </si>
  <si>
    <t>06-04-2026</t>
  </si>
  <si>
    <t>2 TINTAS HDK, 2 YELLOW, 2 MAGENTA F95, 1 MAGENTA F94</t>
  </si>
  <si>
    <t>GRUPO VARGAS SRL</t>
  </si>
  <si>
    <t>2 TINTAS CYAN F6470</t>
  </si>
  <si>
    <t>07-04-2026</t>
  </si>
  <si>
    <t>1 TINTA MAGENTA F6470</t>
  </si>
  <si>
    <t>LUIS ADORNO</t>
  </si>
  <si>
    <t>1 CYAN, 1 YELLOW, 1 HDK F6470</t>
  </si>
  <si>
    <t>08-04-2026</t>
  </si>
  <si>
    <t>1 TINTA MAGENTA F10070</t>
  </si>
  <si>
    <t>1 TINTA MAGENTA, 1 YELLOW F6470</t>
  </si>
  <si>
    <t>DIONISIO COLMAN</t>
  </si>
  <si>
    <t>4 TINTAS MAGENTA F10070</t>
  </si>
  <si>
    <t>ADRIAN RUIZ DIAZ</t>
  </si>
  <si>
    <t>3 TINTAS CYAN, 3 MAGENTA, 3 YELLOW, 3 HDK F6370</t>
  </si>
  <si>
    <t>CHEMISE S.A</t>
  </si>
  <si>
    <t>09-04-2026</t>
  </si>
  <si>
    <t>HR SPORT</t>
  </si>
  <si>
    <t>1 TINTA HDK F170</t>
  </si>
  <si>
    <t>2 TINTAS EPSON YELLOW F10070</t>
  </si>
  <si>
    <t>1 TINTA CYAN F9470</t>
  </si>
  <si>
    <t>1 CANCELACION DE COMPRA EPSON F6470</t>
  </si>
  <si>
    <t>10-04-2026</t>
  </si>
  <si>
    <t>HUGO MORINIGO</t>
  </si>
  <si>
    <t>1 TINTA CYAN, 1 MAGENTA, 1 HDK F6370</t>
  </si>
  <si>
    <t>JULIO GONZALES</t>
  </si>
  <si>
    <t>3 CYAN, 1 MAGENTA F6370</t>
  </si>
  <si>
    <t>1 TINTA MAGENTA, 1 CYAN F6470</t>
  </si>
  <si>
    <t>ANDRES BAEZ</t>
  </si>
  <si>
    <t>13-04-2026</t>
  </si>
  <si>
    <t>MARIELA LOPEZ</t>
  </si>
  <si>
    <t>MARIELA MEDINA</t>
  </si>
  <si>
    <t>1 TINTA CYAN, 1 MAGENTA F6470</t>
  </si>
  <si>
    <t>1 TINTA HDK F170, 1 CAJA F170</t>
  </si>
  <si>
    <t>JESSICA PORTILLO</t>
  </si>
  <si>
    <t>1 COMBO LASER 10W COMPLETO+CAMEO5</t>
  </si>
  <si>
    <t>STEVEN ARAUJO</t>
  </si>
  <si>
    <t>MAQUICENTRO SRL</t>
  </si>
  <si>
    <t>LETICIA CACERES</t>
  </si>
  <si>
    <t>14-04-2026</t>
  </si>
  <si>
    <t>1 IMPRESORA EPSON L1250</t>
  </si>
  <si>
    <t>GABRIEL MELGAREJO</t>
  </si>
  <si>
    <t>8 CYAN, 4 MAGENTA, 2 YELLOW, 2 HDK F6470</t>
  </si>
  <si>
    <t>15-04-2026</t>
  </si>
  <si>
    <t>SPIFF F6470</t>
  </si>
  <si>
    <t>EPSON ARGENTINA SRL</t>
  </si>
  <si>
    <t>1 TINTA YELLOW F570, 1 CAJA F570</t>
  </si>
  <si>
    <t>2 TINTAS CYAN, 2 MAGENTA F6470</t>
  </si>
  <si>
    <t>1 IMPRESORA EPSON F6470</t>
  </si>
  <si>
    <t>LUIS CARRILLO</t>
  </si>
  <si>
    <t>16-04-2026</t>
  </si>
  <si>
    <t>1 IMPRESORA EPSON F6470+PRENSA100X80</t>
  </si>
  <si>
    <t>FATIMA CASTILLO</t>
  </si>
  <si>
    <t>1 TINTA CYAN, 1 HDK F9470</t>
  </si>
  <si>
    <t>17-04-2026</t>
  </si>
  <si>
    <t>2 TINTAS HDK, MAGENTA S40600</t>
  </si>
  <si>
    <t>5 TINTAS MAGENTA, 3 YELLOW, 2 CYAN, 1 HDK F10070</t>
  </si>
  <si>
    <t>1 CAJA DE MANTENIMIENTO F570</t>
  </si>
  <si>
    <t>20-04-2026</t>
  </si>
  <si>
    <t>ANTICIPO EPSON T3070</t>
  </si>
  <si>
    <t>ARTEMERA S.A</t>
  </si>
  <si>
    <t>21-04-2026</t>
  </si>
  <si>
    <t>2 TINTAS F6470: MAGENTA, CYAN</t>
  </si>
  <si>
    <t>2 TINTAS YELLOW F6370</t>
  </si>
  <si>
    <t>3 TINTAS CYAN, 3 YELLOW, 3 MAGENTA, 3 HDK F9470</t>
  </si>
  <si>
    <t>1 EPSON F570</t>
  </si>
  <si>
    <t>RODRIGO RIVAS</t>
  </si>
  <si>
    <t>22-04-2026</t>
  </si>
  <si>
    <t>24-04-2026</t>
  </si>
  <si>
    <t>2 TINTAS MAGENTA, 1 CYAN, 1 YELLOW F10070</t>
  </si>
  <si>
    <t>27-04-2026</t>
  </si>
  <si>
    <t>1 TINTA CYAN F9570</t>
  </si>
  <si>
    <t>2 TINTAS CYAN, 2 HDK, 1 MAGENTA F6470</t>
  </si>
  <si>
    <t>29-04-2026</t>
  </si>
  <si>
    <t>4 TINTAS CYAN, 1 YELLOW, 1 HDK F6370</t>
  </si>
  <si>
    <t>2 TINTAS F10070: CYAN, HDK</t>
  </si>
  <si>
    <t>30-04-2026</t>
  </si>
  <si>
    <t>3 TINTAS F6470: CYAN, YELLOW, HDK</t>
  </si>
  <si>
    <t>ID</t>
  </si>
  <si>
    <t>LINEA</t>
  </si>
  <si>
    <t>COSTO_ORIGINAL</t>
  </si>
  <si>
    <t>MONEDA</t>
  </si>
  <si>
    <t>USD</t>
  </si>
  <si>
    <t>IMPRESORA EPSON L8180 A3</t>
  </si>
  <si>
    <t>BORDADORA BROTHER PE560LPA 10X10</t>
  </si>
  <si>
    <t>BORDADORA BROTHER PE910LPA 13X18</t>
  </si>
  <si>
    <t>BORDADORA BROTHER BP1530LPA 16X26</t>
  </si>
  <si>
    <t>BORDADORA BROTHER BP2150LPA 20X30</t>
  </si>
  <si>
    <t>BORDADORA BROTHER BP3700LPA 24X36</t>
  </si>
  <si>
    <t>BORDADORA BROTHER BE800LPA 13X18</t>
  </si>
  <si>
    <t>BORDADORA BROTHER BE815LPA 13X18</t>
  </si>
  <si>
    <t>BORDADORA BROTHER NV170LPA 10X10</t>
  </si>
  <si>
    <t>BORDADORA BROTHER NV450LPA 13X18</t>
  </si>
  <si>
    <t>BORDADORA BROTHER PE830DLPA 13X18</t>
  </si>
  <si>
    <t>BORDADORA BROTHER PE460DLPA 10X10</t>
  </si>
  <si>
    <t>BORDADORA BROTHER NS1150EPA 13X18</t>
  </si>
  <si>
    <t>BORDADORA BROTHER NQ1400EPA 16X26</t>
  </si>
  <si>
    <t>BORDADORA BROTHER NQ1600EPA 16X26</t>
  </si>
  <si>
    <t>BORDADORA BROTHER NQ1700EPA 16X26</t>
  </si>
  <si>
    <t>BORDADORA BROTHER SB7900EPA 13X18</t>
  </si>
  <si>
    <t>BORDADORA BROTHER SB8000EPA 18X30</t>
  </si>
  <si>
    <t>BORDADORA BROTHER VE2200EPA 18X30</t>
  </si>
  <si>
    <t>BORDADORA BROTHER VE2300EPA 20X30</t>
  </si>
  <si>
    <t>BORDADORA BROTHER VM5100EPA 20X30</t>
  </si>
  <si>
    <t>BORDADORA BROTHER VM5200EPA 20X30</t>
  </si>
  <si>
    <t>BORDADORA BROTHER VM6200EPA 24X36</t>
  </si>
  <si>
    <t>GS</t>
  </si>
  <si>
    <t>COD_PRODUCTO</t>
  </si>
  <si>
    <t>N/A</t>
  </si>
  <si>
    <t>CMB-025</t>
  </si>
  <si>
    <t>CMB-026</t>
  </si>
  <si>
    <t>CMB-027</t>
  </si>
  <si>
    <t>CMB-028</t>
  </si>
  <si>
    <t>CMB-029</t>
  </si>
  <si>
    <t>COMBO: IMPRESORA EPSON F170 + PRENSA 15 EN 1 + CAMEO 5</t>
  </si>
  <si>
    <t>COMBO: IMPRESORA EPSON F170 + PRENSA 11 EN 1 + GRABADORA LASER 20W</t>
  </si>
  <si>
    <t>COMBO: IMPRESORA EPSON F170 + PRENSA 11 EN 1 + CAMEO 5 + PRENSA TERMICA 60X40</t>
  </si>
  <si>
    <t>COMBO: IMPRESORA EPSON F170 + PRENSA 11 EN 1 + GRABADORA LASER 10W</t>
  </si>
  <si>
    <t>COMBO: GRABADORA LASER 10W + PATITAS BASE + EJE ROTATIVO ESTANDAR + COMPRESOR DE AIRE + CAMEO 5</t>
  </si>
  <si>
    <t>Gs. 11.090.000</t>
  </si>
  <si>
    <t>Gs. 11.590.000</t>
  </si>
  <si>
    <t>Gs. 13.690.000</t>
  </si>
  <si>
    <t>Gs. 14.290.000</t>
  </si>
  <si>
    <t>Gs. 13.190.000</t>
  </si>
  <si>
    <t>Gs. 12.290.000</t>
  </si>
  <si>
    <t>Gs. 12.790.000</t>
  </si>
  <si>
    <t>RESUMEN DE VENTAS 2026</t>
  </si>
  <si>
    <t>Cambio USD/GS utilizado:</t>
  </si>
  <si>
    <t>Fuente:</t>
  </si>
  <si>
    <t>VENTAS TOTALES 2026 v2</t>
  </si>
  <si>
    <t>TOTALES GENERALES</t>
  </si>
  <si>
    <t>Total facturas emitidas</t>
  </si>
  <si>
    <t>Facturas válidas (sin anulados)</t>
  </si>
  <si>
    <t>Total ventas GS</t>
  </si>
  <si>
    <t>Total ventas USD (convertido a GS)</t>
  </si>
  <si>
    <t>TOTAL GENERAL (GS)</t>
  </si>
  <si>
    <t>VENTAS POR MES</t>
  </si>
  <si>
    <t>MES</t>
  </si>
  <si>
    <t>VENTAS GS</t>
  </si>
  <si>
    <t>VENTAS USD (en GS)</t>
  </si>
  <si>
    <t>TOTAL (GS)</t>
  </si>
  <si>
    <t>% DEL TOTAL</t>
  </si>
  <si>
    <t>Enero 2026</t>
  </si>
  <si>
    <t>Febrero 2026</t>
  </si>
  <si>
    <t>Marzo 2026</t>
  </si>
  <si>
    <t>Abril 2026</t>
  </si>
  <si>
    <t>TOTAL</t>
  </si>
  <si>
    <t>VENTAS POR LÍNEA DE PRODUCTO</t>
  </si>
  <si>
    <t>VENTAS POR VENDEDOR</t>
  </si>
  <si>
    <t>Nº FACTURAS</t>
  </si>
  <si>
    <t>TOP 15 CLIENTES POR FACTURACIÓN</t>
  </si>
  <si>
    <t>#</t>
  </si>
  <si>
    <t>TOTAL TOP 15</t>
  </si>
  <si>
    <t>TOP 10 PRODUCTOS MÁS VENDIDOS (POR MONTO)</t>
  </si>
  <si>
    <t>CÓDIGO</t>
  </si>
  <si>
    <t>Nº VENTAS</t>
  </si>
  <si>
    <t>IMPRESORA EPSON F6470</t>
  </si>
  <si>
    <t>TINTAS F6470 / F10070 / S40600</t>
  </si>
  <si>
    <t>IMPRESORA EPSON F9570</t>
  </si>
  <si>
    <t>TINTAS F6370 / F9470</t>
  </si>
  <si>
    <t>BORDADORA BROTHER PR680W</t>
  </si>
  <si>
    <t>COMBO F170 + PRENSA 11 EN 1</t>
  </si>
  <si>
    <t>COMBO F170 + 11EN1 + LASER 20W</t>
  </si>
  <si>
    <t>ROLLO PAPEL F570</t>
  </si>
  <si>
    <t>IMPRESORA EPSON F570</t>
  </si>
  <si>
    <t>TOTAL TOP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</si>
</sst>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.00;\(#,##0.00\);\-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scheme val="minor"/>
    </font>
    <font>
      <i/>
      <sz val="10"/>
      <color rgb="FF595959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2" fillId="2" borderId="0" xfId="0" applyFont="1" applyFill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3" fillId="3" borderId="0" xfId="0" applyNumberFormat="1" applyFont="1" applyFill="1"/>
    <xf numFmtId="0" fontId="3" fillId="3" borderId="0" xfId="0" applyFont="1" applyFill="1"/>
    <xf numFmtId="3" fontId="3" fillId="3" borderId="0" xfId="0" applyNumberFormat="1" applyFont="1" applyFill="1"/>
    <xf numFmtId="4" fontId="3" fillId="3" borderId="0" xfId="0" applyNumberFormat="1" applyFont="1" applyFill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5" fillId="7" borderId="0" xfId="0" applyFont="1" applyFill="1" applyAlignment="1">
      <alignment horizontal="center"/>
    </xf>
    <xf numFmtId="0" fontId="7" fillId="0" borderId="0" xfId="0" applyFont="1"/>
    <xf numFmtId="3" fontId="8" fillId="0" borderId="0" xfId="0" applyNumberFormat="1" applyFont="1"/>
    <xf numFmtId="0" fontId="4" fillId="5" borderId="0" xfId="0" applyFont="1" applyFill="1"/>
    <xf numFmtId="0" fontId="4" fillId="5" borderId="0" xfId="0" applyFont="1" applyFill="1" applyAlignment="1">
      <alignment horizontal="left"/>
    </xf>
    <xf numFmtId="0" fontId="0" fillId="5" borderId="0" xfId="0" applyFill="1"/>
    <xf numFmtId="3" fontId="1" fillId="0" borderId="0" xfId="0" applyNumberFormat="1" applyFont="1"/>
    <xf numFmtId="3" fontId="1" fillId="8" borderId="0" xfId="0" applyNumberFormat="1" applyFont="1" applyFill="1"/>
    <xf numFmtId="0" fontId="1" fillId="8" borderId="0" xfId="0" applyFont="1" applyFill="1"/>
    <xf numFmtId="0" fontId="1" fillId="8" borderId="0" xfId="0" applyFont="1" applyFill="1" applyAlignment="1">
      <alignment horizontal="center"/>
    </xf>
    <xf numFmtId="166" fontId="0" fillId="0" borderId="0" xfId="0" applyNumberFormat="1"/>
    <xf numFmtId="0" fontId="6" fillId="4" borderId="0" xfId="0" applyFont="1" applyFill="1" applyAlignment="1">
      <alignment horizontal="center"/>
    </xf>
    <xf numFmtId="0" fontId="0" fillId="8" borderId="0" xfId="0" applyFill="1"/>
    <xf numFmtId="166" fontId="1" fillId="8" borderId="0" xfId="0" applyNumberFormat="1" applyFont="1" applyFill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font>
        <color rgb="FF1F4E79"/>
      </font>
      <fill>
        <patternFill patternType="solid">
          <fgColor indexed="64"/>
          <bgColor rgb="FFEBF3FB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family val="2"/>
        <scheme val="minor"/>
      </font>
      <fill>
        <patternFill patternType="solid">
          <fgColor indexed="64"/>
          <bgColor rgb="FFE8F4FD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0;\(#,##0.00\);\-"/>
      <alignment horizontal="center" vertical="bottom" textRotation="0" wrapText="0" indent="0" justifyLastLine="0" shrinkToFit="0" readingOrder="0"/>
    </dxf>
    <dxf>
      <numFmt numFmtId="164" formatCode="#,##0;\(#,##0\);\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F4C088F-2C3A-4884-86EB-55DF48C61C8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768B94-0287-4832-9BED-E762076B9028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PRODUCTO" tableColumnId="2"/>
      <queryTableField id="3" name="LINEA" tableColumnId="3"/>
      <queryTableField id="4" name="COSTO_ORIGINAL" tableColumnId="4"/>
      <queryTableField id="5" name="MONED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3BD50-8686-41C5-8F86-4DA85C03A9B7}" name="LISTA_PRECIOS_SOLPRO" displayName="LISTA_PRECIOS_SOLPRO" ref="A1:F189" tableType="queryTable" totalsRowShown="0">
  <autoFilter ref="A1:F189" xr:uid="{DB83BD50-8686-41C5-8F86-4DA85C03A9B7}"/>
  <tableColumns count="6">
    <tableColumn id="1" xr3:uid="{AA246F5F-902F-4BD3-A6E4-5BF8AB3C736A}" uniqueName="1" name="Column1" queryTableFieldId="1" dataDxfId="18"/>
    <tableColumn id="2" xr3:uid="{3D97913B-B016-405E-B899-F4687EAA6A8E}" uniqueName="2" name="Column2" queryTableFieldId="2" dataDxfId="17"/>
    <tableColumn id="3" xr3:uid="{003EBFCD-0F6B-4DD2-948A-F6F385DC54A0}" uniqueName="3" name="Column3" queryTableFieldId="3" dataDxfId="16"/>
    <tableColumn id="4" xr3:uid="{14E10F48-C5D2-495E-8C2B-1B968DF0A86B}" uniqueName="4" name="Column4" queryTableFieldId="4" dataDxfId="15"/>
    <tableColumn id="5" xr3:uid="{6A06924B-021A-4B46-BFB8-DEA65E995F8B}" uniqueName="5" name="Column5" queryTableFieldId="5" dataDxfId="13"/>
    <tableColumn id="6" xr3:uid="{76D578EA-4FA8-4D25-A40F-2B7F85040608}" uniqueName="6" name="Column6" queryTableFieldId="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4A7C3-D1B0-4F63-B9E4-299E491D2A99}" name="COSTOS_INTERNOS_SOLPRO" displayName="COSTOS_INTERNOS_SOLPRO" ref="A1:E157" tableType="queryTable" totalsRowShown="0">
  <autoFilter ref="A1:E157" xr:uid="{7574A7C3-D1B0-4F63-B9E4-299E491D2A99}"/>
  <tableColumns count="5">
    <tableColumn id="1" xr3:uid="{BEE856EC-18C1-4CFF-BCB4-EA12E315C950}" uniqueName="1" name="ID" queryTableFieldId="1" dataDxfId="12"/>
    <tableColumn id="2" xr3:uid="{66559D04-5689-45E6-B7A9-57F930DB7181}" uniqueName="2" name="PRODUCTO" queryTableFieldId="2" dataDxfId="11"/>
    <tableColumn id="3" xr3:uid="{0B706010-2E5F-4B7E-846A-AD1F07DB2299}" uniqueName="3" name="LINEA" queryTableFieldId="3" dataDxfId="10"/>
    <tableColumn id="4" xr3:uid="{FF5F77EA-6449-4626-9E8F-BC0322F167DB}" uniqueName="4" name="COSTO_ORIGINAL" queryTableFieldId="4" dataDxfId="9"/>
    <tableColumn id="5" xr3:uid="{B3011871-8252-47D3-A126-315BF7223C2A}" uniqueName="5" name="MONEDA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138977-025D-4178-9DA8-985F215D2426}" name="VENTAS_2026_v2" displayName="VENTAS_2026_v2" ref="A1:J233" totalsRowShown="0" headerRowDxfId="0">
  <autoFilter ref="A1:J233" xr:uid="{08138977-025D-4178-9DA8-985F215D2426}"/>
  <tableColumns count="10">
    <tableColumn id="1" xr3:uid="{D211BC90-AFB1-48EC-A204-8D144982F1D3}" name="FECHA" dataDxfId="7"/>
    <tableColumn id="2" xr3:uid="{75949901-38C3-49F1-B54B-0FCAAED7116F}" name="DESCRIPCION"/>
    <tableColumn id="3" xr3:uid="{B2DF32AF-5AB5-49C3-B58B-5841229FDDE2}" name="CLIENTE"/>
    <tableColumn id="4" xr3:uid="{CC387232-4196-47D6-BE15-463B25C0B9B8}" name="PRECIO GS" dataDxfId="6"/>
    <tableColumn id="5" xr3:uid="{F1E12B3E-4CAE-4713-AB11-3262B88CE934}" name="PRECIO USD" dataDxfId="5"/>
    <tableColumn id="6" xr3:uid="{236FB64E-1E43-4DA7-AD27-C2ECEE7A5C74}" name="NRO_FACTURA" dataDxfId="4"/>
    <tableColumn id="7" xr3:uid="{F4C3E25E-D038-483F-A485-277BF7DEB13E}" name="VENDEDOR"/>
    <tableColumn id="8" xr3:uid="{CA387399-245B-42EF-B1A0-9288EE4D9847}" name="FORMA PAGO" dataDxfId="1"/>
    <tableColumn id="9" xr3:uid="{018BDB1C-B65F-48BF-9A8F-2FB14ACE7B3C}" name="COD_PRODUCTO" dataDxfId="3"/>
    <tableColumn id="10" xr3:uid="{51F3AA01-A3DD-4AC0-8FA2-2CD15358FA05}" name="LINE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2FC8CB-931B-40B1-BACB-951DBFB5E93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fc50e0f-04af-48dc-b78d-6c7b67eca63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8E3C-2F6B-4CB7-9588-33339FF4F6E2}">
  <sheetPr>
    <tabColor rgb="FF1F4E79"/>
  </sheetPr>
  <dimension ref="A1:F66"/>
  <sheetViews>
    <sheetView tabSelected="1" workbookViewId="0">
      <selection activeCell="B19" sqref="B19"/>
    </sheetView>
  </sheetViews>
  <sheetFormatPr baseColWidth="10" defaultColWidth="11.6640625" defaultRowHeight="14.4" x14ac:dyDescent="0.3"/>
  <cols>
    <col min="1" max="1" width="32.33203125" bestFit="1" customWidth="1"/>
    <col min="2" max="2" width="22.77734375" bestFit="1" customWidth="1"/>
    <col min="3" max="3" width="30.5546875" bestFit="1" customWidth="1"/>
    <col min="4" max="4" width="12.6640625" bestFit="1" customWidth="1"/>
    <col min="5" max="5" width="12.5546875" bestFit="1" customWidth="1"/>
    <col min="6" max="6" width="11.88671875" bestFit="1" customWidth="1"/>
  </cols>
  <sheetData>
    <row r="1" spans="1:5" ht="30" customHeight="1" x14ac:dyDescent="0.4">
      <c r="A1" s="31" t="s">
        <v>1066</v>
      </c>
      <c r="B1" s="31"/>
      <c r="C1" s="31"/>
      <c r="D1" s="31"/>
      <c r="E1" s="31"/>
    </row>
    <row r="2" spans="1:5" ht="18" customHeight="1" x14ac:dyDescent="0.3">
      <c r="A2" s="21" t="s">
        <v>1067</v>
      </c>
      <c r="B2" s="22">
        <v>6250</v>
      </c>
    </row>
    <row r="3" spans="1:5" ht="18" customHeight="1" x14ac:dyDescent="0.3">
      <c r="A3" s="21" t="s">
        <v>1068</v>
      </c>
      <c r="B3" s="21" t="s">
        <v>1069</v>
      </c>
    </row>
    <row r="4" spans="1:5" ht="18" customHeight="1" x14ac:dyDescent="0.3"/>
    <row r="5" spans="1:5" ht="18" customHeight="1" x14ac:dyDescent="0.3">
      <c r="A5" s="24" t="s">
        <v>1070</v>
      </c>
      <c r="B5" s="25"/>
      <c r="C5" s="25"/>
      <c r="D5" s="25"/>
      <c r="E5" s="25"/>
    </row>
    <row r="6" spans="1:5" ht="18" customHeight="1" x14ac:dyDescent="0.3">
      <c r="A6" t="s">
        <v>1071</v>
      </c>
      <c r="B6">
        <f>COUNTA('VENTAS TOTALES 2026 v2'!F2:F233)</f>
        <v>232</v>
      </c>
    </row>
    <row r="7" spans="1:5" ht="18" customHeight="1" x14ac:dyDescent="0.3">
      <c r="A7" t="s">
        <v>1072</v>
      </c>
      <c r="B7">
        <f>COUNTIF('VENTAS TOTALES 2026 v2'!I2:I233,"&lt;&gt;N/A")</f>
        <v>196</v>
      </c>
    </row>
    <row r="8" spans="1:5" ht="18" customHeight="1" x14ac:dyDescent="0.3">
      <c r="A8" t="s">
        <v>1073</v>
      </c>
      <c r="B8" s="8">
        <f>SUMIF('VENTAS TOTALES 2026 v2'!I2:I233,"&lt;&gt;N/A",'VENTAS TOTALES 2026 v2'!D2:D233)</f>
        <v>1260466450</v>
      </c>
    </row>
    <row r="9" spans="1:5" ht="18" customHeight="1" x14ac:dyDescent="0.3">
      <c r="A9" t="s">
        <v>1074</v>
      </c>
      <c r="B9" s="8">
        <f>SUMIF('VENTAS TOTALES 2026 v2'!I2:I233,"&lt;&gt;N/A",'VENTAS TOTALES 2026 v2'!E2:E233)*B2</f>
        <v>326625000</v>
      </c>
    </row>
    <row r="10" spans="1:5" ht="18" customHeight="1" x14ac:dyDescent="0.3">
      <c r="A10" s="32" t="s">
        <v>1075</v>
      </c>
      <c r="B10" s="27">
        <f>B8+B9</f>
        <v>1587091450</v>
      </c>
    </row>
    <row r="11" spans="1:5" ht="18" customHeight="1" x14ac:dyDescent="0.3"/>
    <row r="12" spans="1:5" ht="18" customHeight="1" x14ac:dyDescent="0.3">
      <c r="A12" s="23" t="s">
        <v>1076</v>
      </c>
      <c r="B12" s="25"/>
      <c r="C12" s="25"/>
      <c r="D12" s="25"/>
      <c r="E12" s="25"/>
    </row>
    <row r="13" spans="1:5" ht="18" customHeight="1" x14ac:dyDescent="0.3">
      <c r="A13" s="29" t="s">
        <v>1077</v>
      </c>
      <c r="B13" s="29" t="s">
        <v>1078</v>
      </c>
      <c r="C13" s="29" t="s">
        <v>1079</v>
      </c>
      <c r="D13" s="29" t="s">
        <v>1080</v>
      </c>
      <c r="E13" s="29" t="s">
        <v>1081</v>
      </c>
    </row>
    <row r="14" spans="1:5" ht="18" customHeight="1" x14ac:dyDescent="0.3">
      <c r="A14" t="s">
        <v>1082</v>
      </c>
      <c r="B14" s="8" cm="1">
        <f t="array" ref="B14">SUMPRODUCT((TEXT('VENTAS TOTALES 2026 v2'!A2:A233,"MM")="01")*('VENTAS TOTALES 2026 v2'!I2:I233&lt;&gt;"N/A")*'VENTAS TOTALES 2026 v2'!D2:D233)</f>
        <v>120355000</v>
      </c>
      <c r="C14" s="8" cm="1">
        <f t="array" ref="C14">SUMPRODUCT((TEXT('VENTAS TOTALES 2026 v2'!A2:A233,"MM")="01")*('VENTAS TOTALES 2026 v2'!I2:I233&lt;&gt;"N/A")*'VENTAS TOTALES 2026 v2'!E2:E233)*$B$2</f>
        <v>173837500</v>
      </c>
      <c r="D14" s="8">
        <f>B14+C14</f>
        <v>294192500</v>
      </c>
      <c r="E14" s="30">
        <f>IF($D$18=0,"",D14/$D$18)</f>
        <v>0.23860770235079592</v>
      </c>
    </row>
    <row r="15" spans="1:5" ht="18" customHeight="1" x14ac:dyDescent="0.3">
      <c r="A15" t="s">
        <v>1083</v>
      </c>
      <c r="B15" s="8" cm="1">
        <f t="array" ref="B15">SUMPRODUCT((TEXT('VENTAS TOTALES 2026 v2'!A2:A233,"MM")="02")*('VENTAS TOTALES 2026 v2'!I2:I233&lt;&gt;"N/A")*'VENTAS TOTALES 2026 v2'!D2:D233)</f>
        <v>132426000</v>
      </c>
      <c r="C15" s="8" cm="1">
        <f t="array" ref="C15">SUMPRODUCT((TEXT('VENTAS TOTALES 2026 v2'!A2:A233,"MM")="02")*('VENTAS TOTALES 2026 v2'!I2:I233&lt;&gt;"N/A")*'VENTAS TOTALES 2026 v2'!E2:E233)*$B$2</f>
        <v>42375000</v>
      </c>
      <c r="D15" s="8">
        <f>B15+C15</f>
        <v>174801000</v>
      </c>
      <c r="E15" s="30">
        <f>IF($D$18=0,"",D15/$D$18)</f>
        <v>0.1417740594291883</v>
      </c>
    </row>
    <row r="16" spans="1:5" ht="18" customHeight="1" x14ac:dyDescent="0.3">
      <c r="A16" t="s">
        <v>1084</v>
      </c>
      <c r="B16" s="8" cm="1">
        <f t="array" ref="B16">SUMPRODUCT((TEXT('VENTAS TOTALES 2026 v2'!A2:A233,"MM")="03")*('VENTAS TOTALES 2026 v2'!I2:I233&lt;&gt;"N/A")*'VENTAS TOTALES 2026 v2'!D2:D233)</f>
        <v>386520500</v>
      </c>
      <c r="C16" s="8" cm="1">
        <f t="array" ref="C16">SUMPRODUCT((TEXT('VENTAS TOTALES 2026 v2'!A2:A233,"MM")="03")*('VENTAS TOTALES 2026 v2'!I2:I233&lt;&gt;"N/A")*'VENTAS TOTALES 2026 v2'!E2:E233)*$B$2</f>
        <v>0</v>
      </c>
      <c r="D16" s="8">
        <f>B16+C16</f>
        <v>386520500</v>
      </c>
      <c r="E16" s="30">
        <f>IF($D$18=0,"",D16/$D$18)</f>
        <v>0.3134912290982293</v>
      </c>
    </row>
    <row r="17" spans="1:6" ht="18" customHeight="1" x14ac:dyDescent="0.3">
      <c r="A17" t="s">
        <v>1085</v>
      </c>
      <c r="B17" s="8" cm="1">
        <f t="array" ref="B17">SUMPRODUCT((TEXT('VENTAS TOTALES 2026 v2'!A2:A233,"MM")="04")*('VENTAS TOTALES 2026 v2'!I2:I233&lt;&gt;"N/A")*'VENTAS TOTALES 2026 v2'!D2:D233)</f>
        <v>335065750</v>
      </c>
      <c r="C17" s="8" cm="1">
        <f t="array" ref="C17">SUMPRODUCT((TEXT('VENTAS TOTALES 2026 v2'!A2:A233,"MM")="04")*('VENTAS TOTALES 2026 v2'!I2:I233&lt;&gt;"N/A")*'VENTAS TOTALES 2026 v2'!E2:E233)*$B$2</f>
        <v>42375000</v>
      </c>
      <c r="D17" s="8">
        <f>B17+C17</f>
        <v>377440750</v>
      </c>
      <c r="E17" s="30">
        <f>IF($D$18=0,"",D17/$D$18)</f>
        <v>0.30612700912178653</v>
      </c>
    </row>
    <row r="18" spans="1:6" ht="18" customHeight="1" x14ac:dyDescent="0.3">
      <c r="A18" s="28" t="s">
        <v>1086</v>
      </c>
      <c r="B18" s="27">
        <f>SUM(B14:B17)</f>
        <v>974367250</v>
      </c>
      <c r="C18" s="27">
        <f>SUM(C14:C17)</f>
        <v>258587500</v>
      </c>
      <c r="D18" s="27">
        <f>SUM(D14:D17)</f>
        <v>1232954750</v>
      </c>
      <c r="E18" s="33">
        <f>SUM(E14:E17)</f>
        <v>1</v>
      </c>
    </row>
    <row r="19" spans="1:6" ht="18" customHeight="1" x14ac:dyDescent="0.3"/>
    <row r="20" spans="1:6" ht="18" customHeight="1" x14ac:dyDescent="0.3">
      <c r="A20" s="23" t="s">
        <v>1087</v>
      </c>
      <c r="B20" s="25"/>
      <c r="C20" s="25"/>
      <c r="D20" s="25"/>
      <c r="E20" s="25"/>
    </row>
    <row r="21" spans="1:6" ht="18" customHeight="1" x14ac:dyDescent="0.3">
      <c r="A21" s="29" t="s">
        <v>7</v>
      </c>
      <c r="B21" s="29" t="s">
        <v>1078</v>
      </c>
      <c r="C21" s="29" t="s">
        <v>1079</v>
      </c>
      <c r="D21" s="29" t="s">
        <v>1080</v>
      </c>
      <c r="E21" s="29" t="s">
        <v>1081</v>
      </c>
    </row>
    <row r="22" spans="1:6" ht="18" customHeight="1" x14ac:dyDescent="0.3">
      <c r="A22" t="s">
        <v>19</v>
      </c>
      <c r="B22" s="8" cm="1">
        <f t="array" ref="B22">SUMPRODUCT(('VENTAS TOTALES 2026 v2'!J2:J233="COMERCIAL")*'VENTAS TOTALES 2026 v2'!D2:D233)</f>
        <v>245635000</v>
      </c>
      <c r="C22" s="8" cm="1">
        <f t="array" ref="C22">SUMPRODUCT(('VENTAS TOTALES 2026 v2'!J2:J233="COMERCIAL")*'VENTAS TOTALES 2026 v2'!E2:E233)*$B$2</f>
        <v>0</v>
      </c>
      <c r="D22" s="8">
        <f>B22+C22</f>
        <v>245635000</v>
      </c>
      <c r="E22" s="30">
        <f>IF($D$26=0,"",D22/$D$26)</f>
        <v>0.1547705395300315</v>
      </c>
    </row>
    <row r="23" spans="1:6" ht="18" customHeight="1" x14ac:dyDescent="0.3">
      <c r="A23" t="s">
        <v>13</v>
      </c>
      <c r="B23" s="8" cm="1">
        <f t="array" ref="B23">SUMPRODUCT(('VENTAS TOTALES 2026 v2'!J2:J233="INDUSTRIAL")*'VENTAS TOTALES 2026 v2'!D2:D233)</f>
        <v>652679000</v>
      </c>
      <c r="C23" s="8" cm="1">
        <f t="array" ref="C23">SUMPRODUCT(('VENTAS TOTALES 2026 v2'!J2:J233="INDUSTRIAL")*'VENTAS TOTALES 2026 v2'!E2:E233)*$B$2</f>
        <v>139937500</v>
      </c>
      <c r="D23" s="8">
        <f>B23+C23</f>
        <v>792616500</v>
      </c>
      <c r="E23" s="30">
        <f>IF($D$26=0,"",D23/$D$26)</f>
        <v>0.49941451073912596</v>
      </c>
    </row>
    <row r="24" spans="1:6" ht="18" customHeight="1" x14ac:dyDescent="0.3">
      <c r="A24" t="s">
        <v>358</v>
      </c>
      <c r="B24" s="8" cm="1">
        <f t="array" ref="B24">SUMPRODUCT(('VENTAS TOTALES 2026 v2'!J2:J233="INSUMOS")*'VENTAS TOTALES 2026 v2'!D2:D233)</f>
        <v>361562450</v>
      </c>
      <c r="C24" s="8" cm="1">
        <f t="array" ref="C24">SUMPRODUCT(('VENTAS TOTALES 2026 v2'!J2:J233="INSUMOS")*'VENTAS TOTALES 2026 v2'!E2:E233)*$B$2</f>
        <v>186687500</v>
      </c>
      <c r="D24" s="8">
        <f>B24+C24</f>
        <v>548249950</v>
      </c>
      <c r="E24" s="30">
        <f>IF($D$26=0,"",D24/$D$26)</f>
        <v>0.34544320051626515</v>
      </c>
    </row>
    <row r="25" spans="1:6" ht="18" customHeight="1" x14ac:dyDescent="0.3">
      <c r="A25" t="s">
        <v>73</v>
      </c>
      <c r="B25" s="8" cm="1">
        <f t="array" ref="B25">SUMPRODUCT(('VENTAS TOTALES 2026 v2'!J2:J233="ACCESORIOS")*'VENTAS TOTALES 2026 v2'!D2:D233)</f>
        <v>590000</v>
      </c>
      <c r="C25" s="8" cm="1">
        <f t="array" ref="C25">SUMPRODUCT(('VENTAS TOTALES 2026 v2'!J2:J233="ACCESORIOS")*'VENTAS TOTALES 2026 v2'!E2:E233)*$B$2</f>
        <v>0</v>
      </c>
      <c r="D25" s="8">
        <f>B25+C25</f>
        <v>590000</v>
      </c>
      <c r="E25" s="30">
        <f>IF($D$26=0,"",D25/$D$26)</f>
        <v>3.7174921457739567E-4</v>
      </c>
    </row>
    <row r="26" spans="1:6" ht="18" customHeight="1" x14ac:dyDescent="0.3">
      <c r="A26" s="28" t="s">
        <v>1086</v>
      </c>
      <c r="B26" s="27">
        <f>SUM(B22:B25)</f>
        <v>1260466450</v>
      </c>
      <c r="C26" s="27">
        <f>SUM(C22:C25)</f>
        <v>326625000</v>
      </c>
      <c r="D26" s="27">
        <f>SUM(D22:D25)</f>
        <v>1587091450</v>
      </c>
      <c r="E26" s="33">
        <f>SUM(E22:E25)</f>
        <v>1</v>
      </c>
    </row>
    <row r="27" spans="1:6" ht="18" customHeight="1" x14ac:dyDescent="0.3"/>
    <row r="28" spans="1:6" ht="18" customHeight="1" x14ac:dyDescent="0.3">
      <c r="A28" s="23" t="s">
        <v>1088</v>
      </c>
      <c r="B28" s="25"/>
      <c r="C28" s="25"/>
      <c r="D28" s="25"/>
      <c r="E28" s="25"/>
      <c r="F28" s="25"/>
    </row>
    <row r="29" spans="1:6" ht="18" customHeight="1" x14ac:dyDescent="0.3">
      <c r="A29" s="29" t="s">
        <v>653</v>
      </c>
      <c r="B29" s="29" t="s">
        <v>1078</v>
      </c>
      <c r="C29" s="29" t="s">
        <v>1079</v>
      </c>
      <c r="D29" s="29" t="s">
        <v>1080</v>
      </c>
      <c r="E29" s="29" t="s">
        <v>1089</v>
      </c>
      <c r="F29" s="29" t="s">
        <v>1081</v>
      </c>
    </row>
    <row r="30" spans="1:6" ht="18" customHeight="1" x14ac:dyDescent="0.3">
      <c r="A30" t="s">
        <v>658</v>
      </c>
      <c r="B30" s="8" cm="1">
        <f t="array" ref="B30">SUMPRODUCT(('VENTAS TOTALES 2026 v2'!G2:G233="ALBERTO")*('VENTAS TOTALES 2026 v2'!I2:I233&lt;&gt;"N/A")*'VENTAS TOTALES 2026 v2'!D2:D233)</f>
        <v>567208450</v>
      </c>
      <c r="C30" s="8" cm="1">
        <f t="array" ref="C30">SUMPRODUCT(('VENTAS TOTALES 2026 v2'!G2:G233="ALBERTO")*('VENTAS TOTALES 2026 v2'!I2:I233&lt;&gt;"N/A")*'VENTAS TOTALES 2026 v2'!E2:E233)*$B$2</f>
        <v>315325000</v>
      </c>
      <c r="D30" s="26">
        <f>B30+C30</f>
        <v>882533450</v>
      </c>
      <c r="E30" s="2">
        <f>COUNTIFS('VENTAS TOTALES 2026 v2'!G2:G233,"ALBERTO",'VENTAS TOTALES 2026 v2'!I2:I233,"&lt;&gt;N/A")</f>
        <v>76</v>
      </c>
      <c r="F30" s="30">
        <f>IF($D$33=0,"",D30/$D$33)</f>
        <v>0.56005726519204047</v>
      </c>
    </row>
    <row r="31" spans="1:6" ht="18" customHeight="1" x14ac:dyDescent="0.3">
      <c r="A31" t="s">
        <v>679</v>
      </c>
      <c r="B31" s="8" cm="1">
        <f t="array" ref="B31">SUMPRODUCT(('VENTAS TOTALES 2026 v2'!G2:G233="MAURO")*('VENTAS TOTALES 2026 v2'!I2:I233&lt;&gt;"N/A")*'VENTAS TOTALES 2026 v2'!D2:D233)</f>
        <v>693258000</v>
      </c>
      <c r="C31" s="8" cm="1">
        <f t="array" ref="C31">SUMPRODUCT(('VENTAS TOTALES 2026 v2'!G2:G233="MAURO")*('VENTAS TOTALES 2026 v2'!I2:I233&lt;&gt;"N/A")*'VENTAS TOTALES 2026 v2'!E2:E233)*$B$2</f>
        <v>0</v>
      </c>
      <c r="D31" s="26">
        <f>B31+C31</f>
        <v>693258000</v>
      </c>
      <c r="E31" s="2">
        <f>COUNTIFS('VENTAS TOTALES 2026 v2'!G2:G233,"MAURO",'VENTAS TOTALES 2026 v2'!I2:I233,"&lt;&gt;N/A")</f>
        <v>119</v>
      </c>
      <c r="F31" s="30">
        <f>IF($D$33=0,"",D31/$D$33)</f>
        <v>0.43994273480795953</v>
      </c>
    </row>
    <row r="32" spans="1:6" ht="18" customHeight="1" x14ac:dyDescent="0.3">
      <c r="A32" t="s">
        <v>669</v>
      </c>
      <c r="B32" s="8" cm="1">
        <f t="array" ref="B32">SUMPRODUCT(('VENTAS TOTALES 2026 v2'!G2:G233="JAVIER")*('VENTAS TOTALES 2026 v2'!I2:I233&lt;&gt;"N/A")*'VENTAS TOTALES 2026 v2'!D2:D233)</f>
        <v>0</v>
      </c>
      <c r="C32" s="8" cm="1">
        <f t="array" ref="C32">SUMPRODUCT(('VENTAS TOTALES 2026 v2'!G2:G233="JAVIER")*('VENTAS TOTALES 2026 v2'!I2:I233&lt;&gt;"N/A")*'VENTAS TOTALES 2026 v2'!E2:E233)*$B$2</f>
        <v>0</v>
      </c>
      <c r="D32" s="26">
        <f>B32+C32</f>
        <v>0</v>
      </c>
      <c r="E32" s="2">
        <f>COUNTIFS('VENTAS TOTALES 2026 v2'!G2:G233,"JAVIER",'VENTAS TOTALES 2026 v2'!I2:I233,"&lt;&gt;N/A")</f>
        <v>0</v>
      </c>
      <c r="F32" s="30">
        <f>IF($D$33=0,"",D32/$D$33)</f>
        <v>0</v>
      </c>
    </row>
    <row r="33" spans="1:6" ht="18" customHeight="1" x14ac:dyDescent="0.3">
      <c r="A33" s="28" t="s">
        <v>1086</v>
      </c>
      <c r="B33" s="27">
        <f>SUM(B30:B32)</f>
        <v>1260466450</v>
      </c>
      <c r="C33" s="27">
        <f>SUM(C30:C32)</f>
        <v>315325000</v>
      </c>
      <c r="D33" s="27">
        <f>SUM(D30:D32)</f>
        <v>1575791450</v>
      </c>
      <c r="E33" s="29">
        <f>SUM(E30:E32)</f>
        <v>195</v>
      </c>
      <c r="F33" s="33">
        <f>SUM(F30:F32)</f>
        <v>1</v>
      </c>
    </row>
    <row r="34" spans="1:6" ht="18" customHeight="1" x14ac:dyDescent="0.3"/>
    <row r="35" spans="1:6" ht="18" customHeight="1" x14ac:dyDescent="0.3">
      <c r="A35" s="23" t="s">
        <v>1090</v>
      </c>
      <c r="B35" s="25"/>
      <c r="C35" s="25"/>
      <c r="D35" s="25"/>
      <c r="E35" s="25"/>
    </row>
    <row r="36" spans="1:6" ht="18" customHeight="1" x14ac:dyDescent="0.3">
      <c r="A36" s="29" t="s">
        <v>1091</v>
      </c>
      <c r="B36" s="29" t="s">
        <v>649</v>
      </c>
      <c r="C36" s="29" t="s">
        <v>1080</v>
      </c>
      <c r="D36" s="29" t="s">
        <v>1089</v>
      </c>
      <c r="E36" s="29" t="s">
        <v>1081</v>
      </c>
    </row>
    <row r="37" spans="1:6" ht="18" customHeight="1" x14ac:dyDescent="0.3">
      <c r="A37" s="2">
        <v>1</v>
      </c>
      <c r="B37" t="s">
        <v>665</v>
      </c>
      <c r="C37" s="8">
        <v>186687500</v>
      </c>
      <c r="D37" s="2">
        <v>11</v>
      </c>
      <c r="E37" s="30">
        <f>C37/$C$52</f>
        <v>0.16551110694227278</v>
      </c>
    </row>
    <row r="38" spans="1:6" ht="18" customHeight="1" x14ac:dyDescent="0.3">
      <c r="A38" s="2">
        <v>2</v>
      </c>
      <c r="B38" t="s">
        <v>764</v>
      </c>
      <c r="C38" s="8">
        <v>139937500</v>
      </c>
      <c r="D38" s="2">
        <v>1</v>
      </c>
      <c r="E38" s="30">
        <f>C38/$C$52</f>
        <v>0.12406406710537288</v>
      </c>
    </row>
    <row r="39" spans="1:6" ht="18" customHeight="1" x14ac:dyDescent="0.3">
      <c r="A39" s="2">
        <v>3</v>
      </c>
      <c r="B39" t="s">
        <v>880</v>
      </c>
      <c r="C39" s="8">
        <v>127079000</v>
      </c>
      <c r="D39" s="2">
        <v>2</v>
      </c>
      <c r="E39" s="30">
        <f>C39/$C$52</f>
        <v>0.11266413637290704</v>
      </c>
    </row>
    <row r="40" spans="1:6" ht="18" customHeight="1" x14ac:dyDescent="0.3">
      <c r="A40" s="2">
        <v>4</v>
      </c>
      <c r="B40" t="s">
        <v>922</v>
      </c>
      <c r="C40" s="8">
        <v>67290000</v>
      </c>
      <c r="D40" s="2">
        <v>1</v>
      </c>
      <c r="E40" s="30">
        <f>C40/$C$52</f>
        <v>5.96571403342245E-2</v>
      </c>
    </row>
    <row r="41" spans="1:6" ht="18" customHeight="1" x14ac:dyDescent="0.3">
      <c r="A41" s="2">
        <v>5</v>
      </c>
      <c r="B41" t="s">
        <v>992</v>
      </c>
      <c r="C41" s="8">
        <v>65800000</v>
      </c>
      <c r="D41" s="2">
        <v>1</v>
      </c>
      <c r="E41" s="30">
        <f>C41/$C$52</f>
        <v>5.8336154465625976E-2</v>
      </c>
    </row>
    <row r="42" spans="1:6" ht="18" customHeight="1" x14ac:dyDescent="0.3">
      <c r="A42" s="2">
        <v>6</v>
      </c>
      <c r="B42" t="s">
        <v>682</v>
      </c>
      <c r="C42" s="8">
        <v>65490000</v>
      </c>
      <c r="D42" s="2">
        <v>2</v>
      </c>
      <c r="E42" s="30">
        <f>C42/$C$52</f>
        <v>5.8061318479541719E-2</v>
      </c>
    </row>
    <row r="43" spans="1:6" ht="18" customHeight="1" x14ac:dyDescent="0.3">
      <c r="A43" s="2">
        <v>7</v>
      </c>
      <c r="B43" t="s">
        <v>661</v>
      </c>
      <c r="C43" s="8">
        <v>59986000</v>
      </c>
      <c r="D43" s="2">
        <v>6</v>
      </c>
      <c r="E43" s="30">
        <f>C43/$C$52</f>
        <v>5.3181649875000604E-2</v>
      </c>
    </row>
    <row r="44" spans="1:6" ht="18" customHeight="1" x14ac:dyDescent="0.3">
      <c r="A44" s="2">
        <v>8</v>
      </c>
      <c r="B44" t="s">
        <v>904</v>
      </c>
      <c r="C44" s="8">
        <v>56050000</v>
      </c>
      <c r="D44" s="2">
        <v>1</v>
      </c>
      <c r="E44" s="30">
        <f>C44/$C$52</f>
        <v>4.9692119419427597E-2</v>
      </c>
    </row>
    <row r="45" spans="1:6" ht="18" customHeight="1" x14ac:dyDescent="0.3">
      <c r="A45" s="2">
        <v>9</v>
      </c>
      <c r="B45" t="s">
        <v>821</v>
      </c>
      <c r="C45" s="8">
        <v>53800000</v>
      </c>
      <c r="D45" s="2">
        <v>1</v>
      </c>
      <c r="E45" s="30">
        <f>C45/$C$52</f>
        <v>4.7697342101074125E-2</v>
      </c>
    </row>
    <row r="46" spans="1:6" ht="18" customHeight="1" x14ac:dyDescent="0.3">
      <c r="A46" s="2">
        <v>10</v>
      </c>
      <c r="B46" t="s">
        <v>862</v>
      </c>
      <c r="C46" s="8">
        <v>53600000</v>
      </c>
      <c r="D46" s="2">
        <v>1</v>
      </c>
      <c r="E46" s="30">
        <f>C46/$C$52</f>
        <v>4.7520028561664929E-2</v>
      </c>
    </row>
    <row r="47" spans="1:6" ht="18" customHeight="1" x14ac:dyDescent="0.3">
      <c r="A47" s="2">
        <v>11</v>
      </c>
      <c r="B47" t="s">
        <v>925</v>
      </c>
      <c r="C47" s="8">
        <v>53150000</v>
      </c>
      <c r="D47" s="2">
        <v>1</v>
      </c>
      <c r="E47" s="30">
        <f>C47/$C$52</f>
        <v>4.712107309799423E-2</v>
      </c>
    </row>
    <row r="48" spans="1:6" ht="18" customHeight="1" x14ac:dyDescent="0.3">
      <c r="A48" s="2">
        <v>12</v>
      </c>
      <c r="B48" t="s">
        <v>910</v>
      </c>
      <c r="C48" s="8">
        <v>50500000</v>
      </c>
      <c r="D48" s="2">
        <v>1</v>
      </c>
      <c r="E48" s="30">
        <f>C48/$C$52</f>
        <v>4.4771668700822366E-2</v>
      </c>
    </row>
    <row r="49" spans="1:6" ht="18" customHeight="1" x14ac:dyDescent="0.3">
      <c r="A49" s="2">
        <v>13</v>
      </c>
      <c r="B49" t="s">
        <v>970</v>
      </c>
      <c r="C49" s="8">
        <v>50500000</v>
      </c>
      <c r="D49" s="2">
        <v>1</v>
      </c>
      <c r="E49" s="30">
        <f>C49/$C$52</f>
        <v>4.4771668700822366E-2</v>
      </c>
    </row>
    <row r="50" spans="1:6" ht="18" customHeight="1" x14ac:dyDescent="0.3">
      <c r="A50" s="2">
        <v>14</v>
      </c>
      <c r="B50" t="s">
        <v>989</v>
      </c>
      <c r="C50" s="8">
        <v>50500000</v>
      </c>
      <c r="D50" s="2">
        <v>1</v>
      </c>
      <c r="E50" s="30">
        <f>C50/$C$52</f>
        <v>4.4771668700822366E-2</v>
      </c>
    </row>
    <row r="51" spans="1:6" ht="18" customHeight="1" x14ac:dyDescent="0.3">
      <c r="A51" s="2">
        <v>15</v>
      </c>
      <c r="B51" t="s">
        <v>672</v>
      </c>
      <c r="C51" s="8">
        <v>47575450</v>
      </c>
      <c r="D51" s="2">
        <v>9</v>
      </c>
      <c r="E51" s="30">
        <f>C51/$C$52</f>
        <v>4.2178857142426522E-2</v>
      </c>
    </row>
    <row r="52" spans="1:6" ht="18" customHeight="1" x14ac:dyDescent="0.3">
      <c r="A52" s="28" t="s">
        <v>1092</v>
      </c>
      <c r="B52" s="32"/>
      <c r="C52" s="27">
        <f>SUM(C37:C51)</f>
        <v>1127945450</v>
      </c>
      <c r="D52" s="29">
        <f>SUM(D37:D51)</f>
        <v>40</v>
      </c>
      <c r="E52" s="32"/>
    </row>
    <row r="53" spans="1:6" ht="18" customHeight="1" x14ac:dyDescent="0.3"/>
    <row r="54" spans="1:6" ht="18" customHeight="1" x14ac:dyDescent="0.3">
      <c r="A54" s="23" t="s">
        <v>1093</v>
      </c>
      <c r="B54" s="25"/>
      <c r="C54" s="25"/>
      <c r="D54" s="25"/>
      <c r="E54" s="25"/>
    </row>
    <row r="55" spans="1:6" ht="18" customHeight="1" x14ac:dyDescent="0.3">
      <c r="A55" s="29" t="s">
        <v>1091</v>
      </c>
      <c r="B55" s="29" t="s">
        <v>1094</v>
      </c>
      <c r="C55" s="29" t="s">
        <v>8</v>
      </c>
      <c r="D55" s="29" t="s">
        <v>1080</v>
      </c>
      <c r="E55" s="29" t="s">
        <v>1095</v>
      </c>
      <c r="F55" s="29" t="s">
        <v>1081</v>
      </c>
    </row>
    <row r="56" spans="1:6" ht="18" customHeight="1" x14ac:dyDescent="0.3">
      <c r="A56" s="2">
        <v>1</v>
      </c>
      <c r="B56" t="s">
        <v>342</v>
      </c>
      <c r="C56" t="s">
        <v>1096</v>
      </c>
      <c r="D56" s="8">
        <v>560979000</v>
      </c>
      <c r="E56" s="2">
        <v>10</v>
      </c>
      <c r="F56" s="30">
        <f>IF($B$10=0,"",D56/$B$10)</f>
        <v>0.35346356380408955</v>
      </c>
    </row>
    <row r="57" spans="1:6" ht="18" customHeight="1" x14ac:dyDescent="0.3">
      <c r="A57" s="2">
        <v>2</v>
      </c>
      <c r="B57" t="s">
        <v>407</v>
      </c>
      <c r="C57" t="s">
        <v>1097</v>
      </c>
      <c r="D57" s="8">
        <v>429360950</v>
      </c>
      <c r="E57" s="2">
        <v>85</v>
      </c>
      <c r="F57" s="30">
        <f>IF($B$10=0,"",D57/$B$10)</f>
        <v>0.27053321344526177</v>
      </c>
    </row>
    <row r="58" spans="1:6" ht="18" customHeight="1" x14ac:dyDescent="0.3">
      <c r="A58" s="2">
        <v>3</v>
      </c>
      <c r="B58" t="s">
        <v>383</v>
      </c>
      <c r="C58" t="s">
        <v>1098</v>
      </c>
      <c r="D58" s="8">
        <v>139937500</v>
      </c>
      <c r="E58" s="2">
        <v>1</v>
      </c>
      <c r="F58" s="30">
        <f>IF($B$10=0,"",D58/$B$10)</f>
        <v>8.8172297821905596E-2</v>
      </c>
    </row>
    <row r="59" spans="1:6" ht="18" customHeight="1" x14ac:dyDescent="0.3">
      <c r="A59" s="2">
        <v>4</v>
      </c>
      <c r="B59" t="s">
        <v>421</v>
      </c>
      <c r="C59" t="s">
        <v>1099</v>
      </c>
      <c r="D59" s="8">
        <v>87506000</v>
      </c>
      <c r="E59" s="2">
        <v>29</v>
      </c>
      <c r="F59" s="30">
        <f>IF($B$10=0,"",D59/$B$10)</f>
        <v>5.5136079272558619E-2</v>
      </c>
    </row>
    <row r="60" spans="1:6" ht="18" customHeight="1" x14ac:dyDescent="0.3">
      <c r="A60" s="2">
        <v>5</v>
      </c>
      <c r="B60" t="s">
        <v>549</v>
      </c>
      <c r="C60" t="s">
        <v>550</v>
      </c>
      <c r="D60" s="8">
        <v>67290000</v>
      </c>
      <c r="E60" s="2">
        <v>1</v>
      </c>
      <c r="F60" s="30">
        <f>IF($B$10=0,"",D60/$B$10)</f>
        <v>4.2398312964259242E-2</v>
      </c>
    </row>
    <row r="61" spans="1:6" ht="18" customHeight="1" x14ac:dyDescent="0.3">
      <c r="A61" s="2">
        <v>6</v>
      </c>
      <c r="B61" t="s">
        <v>99</v>
      </c>
      <c r="C61" t="s">
        <v>1100</v>
      </c>
      <c r="D61" s="8">
        <v>57590000</v>
      </c>
      <c r="E61" s="2">
        <v>1</v>
      </c>
      <c r="F61" s="30">
        <f>IF($B$10=0,"",D61/$B$10)</f>
        <v>3.6286503843241044E-2</v>
      </c>
    </row>
    <row r="62" spans="1:6" ht="18" customHeight="1" x14ac:dyDescent="0.3">
      <c r="A62" s="2">
        <v>7</v>
      </c>
      <c r="B62" t="s">
        <v>621</v>
      </c>
      <c r="C62" t="s">
        <v>1101</v>
      </c>
      <c r="D62" s="8">
        <v>32115000</v>
      </c>
      <c r="E62" s="2">
        <v>5</v>
      </c>
      <c r="F62" s="30">
        <f>IF($B$10=0,"",D62/$B$10)</f>
        <v>2.0235128857886545E-2</v>
      </c>
    </row>
    <row r="63" spans="1:6" ht="18" customHeight="1" x14ac:dyDescent="0.3">
      <c r="A63" s="2">
        <v>8</v>
      </c>
      <c r="B63" t="s">
        <v>1050</v>
      </c>
      <c r="C63" t="s">
        <v>1102</v>
      </c>
      <c r="D63" s="8">
        <v>25930000</v>
      </c>
      <c r="E63" s="2">
        <v>2</v>
      </c>
      <c r="F63" s="30">
        <f>IF($B$10=0,"",D63/$B$10)</f>
        <v>1.6338062938969271E-2</v>
      </c>
    </row>
    <row r="64" spans="1:6" ht="18" customHeight="1" x14ac:dyDescent="0.3">
      <c r="A64" s="2">
        <v>9</v>
      </c>
      <c r="B64" t="s">
        <v>415</v>
      </c>
      <c r="C64" t="s">
        <v>1103</v>
      </c>
      <c r="D64" s="8">
        <v>22292000</v>
      </c>
      <c r="E64" s="2">
        <v>7</v>
      </c>
      <c r="F64" s="30">
        <f>IF($B$10=0,"",D64/$B$10)</f>
        <v>1.4045819476880175E-2</v>
      </c>
    </row>
    <row r="65" spans="1:6" ht="18" customHeight="1" x14ac:dyDescent="0.3">
      <c r="A65" s="2">
        <v>10</v>
      </c>
      <c r="B65" t="s">
        <v>332</v>
      </c>
      <c r="C65" t="s">
        <v>1104</v>
      </c>
      <c r="D65" s="8">
        <v>18890000</v>
      </c>
      <c r="E65" s="2">
        <v>1</v>
      </c>
      <c r="F65" s="30">
        <f>IF($B$10=0,"",D65/$B$10)</f>
        <v>1.190227570062204E-2</v>
      </c>
    </row>
    <row r="66" spans="1:6" ht="18" customHeight="1" x14ac:dyDescent="0.3">
      <c r="A66" s="28" t="s">
        <v>1105</v>
      </c>
      <c r="B66" s="28"/>
      <c r="C66" s="28"/>
      <c r="D66" s="27">
        <f>SUM(D56:D65)</f>
        <v>1441890450</v>
      </c>
      <c r="E66" s="29">
        <f>SUM(E56:E65)</f>
        <v>142</v>
      </c>
      <c r="F66" s="28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2A9A-A744-4075-A567-D7087A8B5901}">
  <dimension ref="A1:F189"/>
  <sheetViews>
    <sheetView topLeftCell="C166" workbookViewId="0">
      <selection activeCell="C195" sqref="C195"/>
    </sheetView>
  </sheetViews>
  <sheetFormatPr baseColWidth="10" defaultRowHeight="14.4" x14ac:dyDescent="0.3"/>
  <cols>
    <col min="1" max="1" width="10.77734375" bestFit="1" customWidth="1"/>
    <col min="2" max="2" width="11.44140625" bestFit="1" customWidth="1"/>
    <col min="3" max="3" width="95.88671875" bestFit="1" customWidth="1"/>
    <col min="4" max="5" width="14.109375" style="4" bestFit="1" customWidth="1"/>
    <col min="6" max="6" width="14.109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5" t="s">
        <v>9</v>
      </c>
      <c r="E2" s="5" t="s">
        <v>10</v>
      </c>
      <c r="F2" s="3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5" t="s">
        <v>15</v>
      </c>
      <c r="E3" s="5" t="s">
        <v>16</v>
      </c>
      <c r="F3" s="3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5" t="s">
        <v>21</v>
      </c>
      <c r="E4" s="5" t="s">
        <v>22</v>
      </c>
      <c r="F4" s="3" t="s">
        <v>23</v>
      </c>
    </row>
    <row r="5" spans="1:6" x14ac:dyDescent="0.3">
      <c r="A5" s="1" t="s">
        <v>24</v>
      </c>
      <c r="B5" s="1" t="s">
        <v>19</v>
      </c>
      <c r="C5" s="1" t="s">
        <v>25</v>
      </c>
      <c r="D5" s="5" t="s">
        <v>26</v>
      </c>
      <c r="E5" s="5" t="s">
        <v>26</v>
      </c>
      <c r="F5" s="3" t="s">
        <v>23</v>
      </c>
    </row>
    <row r="6" spans="1:6" x14ac:dyDescent="0.3">
      <c r="A6" s="1" t="s">
        <v>27</v>
      </c>
      <c r="B6" s="1" t="s">
        <v>19</v>
      </c>
      <c r="C6" s="1" t="s">
        <v>28</v>
      </c>
      <c r="D6" s="5" t="s">
        <v>29</v>
      </c>
      <c r="E6" s="5" t="s">
        <v>29</v>
      </c>
      <c r="F6" s="3" t="s">
        <v>23</v>
      </c>
    </row>
    <row r="7" spans="1:6" x14ac:dyDescent="0.3">
      <c r="A7" s="1" t="s">
        <v>30</v>
      </c>
      <c r="B7" s="1" t="s">
        <v>19</v>
      </c>
      <c r="C7" s="1" t="s">
        <v>31</v>
      </c>
      <c r="D7" s="5" t="s">
        <v>32</v>
      </c>
      <c r="E7" s="5" t="s">
        <v>33</v>
      </c>
      <c r="F7" s="3" t="s">
        <v>23</v>
      </c>
    </row>
    <row r="8" spans="1:6" x14ac:dyDescent="0.3">
      <c r="A8" s="1" t="s">
        <v>34</v>
      </c>
      <c r="B8" s="1" t="s">
        <v>19</v>
      </c>
      <c r="C8" s="1" t="s">
        <v>35</v>
      </c>
      <c r="D8" s="5" t="s">
        <v>36</v>
      </c>
      <c r="E8" s="5" t="s">
        <v>36</v>
      </c>
      <c r="F8" s="3" t="s">
        <v>23</v>
      </c>
    </row>
    <row r="9" spans="1:6" x14ac:dyDescent="0.3">
      <c r="A9" s="1" t="s">
        <v>37</v>
      </c>
      <c r="B9" s="1" t="s">
        <v>19</v>
      </c>
      <c r="C9" s="1" t="s">
        <v>38</v>
      </c>
      <c r="D9" s="5" t="s">
        <v>39</v>
      </c>
      <c r="E9" s="5" t="s">
        <v>40</v>
      </c>
      <c r="F9" s="3" t="s">
        <v>23</v>
      </c>
    </row>
    <row r="10" spans="1:6" x14ac:dyDescent="0.3">
      <c r="A10" s="1" t="s">
        <v>41</v>
      </c>
      <c r="B10" s="1" t="s">
        <v>19</v>
      </c>
      <c r="C10" s="1" t="s">
        <v>42</v>
      </c>
      <c r="D10" s="5" t="s">
        <v>43</v>
      </c>
      <c r="E10" s="5" t="s">
        <v>44</v>
      </c>
      <c r="F10" s="3" t="s">
        <v>23</v>
      </c>
    </row>
    <row r="11" spans="1:6" x14ac:dyDescent="0.3">
      <c r="A11" s="1" t="s">
        <v>45</v>
      </c>
      <c r="B11" s="1" t="s">
        <v>19</v>
      </c>
      <c r="C11" s="1" t="s">
        <v>46</v>
      </c>
      <c r="D11" s="5" t="s">
        <v>47</v>
      </c>
      <c r="E11" s="5" t="s">
        <v>48</v>
      </c>
      <c r="F11" s="3" t="s">
        <v>23</v>
      </c>
    </row>
    <row r="12" spans="1:6" x14ac:dyDescent="0.3">
      <c r="A12" s="1" t="s">
        <v>49</v>
      </c>
      <c r="B12" s="1" t="s">
        <v>19</v>
      </c>
      <c r="C12" s="1" t="s">
        <v>50</v>
      </c>
      <c r="D12" s="5" t="s">
        <v>39</v>
      </c>
      <c r="E12" s="5" t="s">
        <v>40</v>
      </c>
      <c r="F12" s="3" t="s">
        <v>23</v>
      </c>
    </row>
    <row r="13" spans="1:6" x14ac:dyDescent="0.3">
      <c r="A13" s="1" t="s">
        <v>51</v>
      </c>
      <c r="B13" s="1" t="s">
        <v>19</v>
      </c>
      <c r="C13" s="1" t="s">
        <v>52</v>
      </c>
      <c r="D13" s="5" t="s">
        <v>22</v>
      </c>
      <c r="E13" s="5" t="s">
        <v>53</v>
      </c>
      <c r="F13" s="3" t="s">
        <v>23</v>
      </c>
    </row>
    <row r="14" spans="1:6" x14ac:dyDescent="0.3">
      <c r="A14" s="1" t="s">
        <v>54</v>
      </c>
      <c r="B14" s="1" t="s">
        <v>19</v>
      </c>
      <c r="C14" s="1" t="s">
        <v>55</v>
      </c>
      <c r="D14" s="5" t="s">
        <v>56</v>
      </c>
      <c r="E14" s="5" t="s">
        <v>57</v>
      </c>
      <c r="F14" s="3" t="s">
        <v>23</v>
      </c>
    </row>
    <row r="15" spans="1:6" x14ac:dyDescent="0.3">
      <c r="A15" s="1" t="s">
        <v>58</v>
      </c>
      <c r="B15" s="1" t="s">
        <v>19</v>
      </c>
      <c r="C15" s="1" t="s">
        <v>59</v>
      </c>
      <c r="D15" s="5" t="s">
        <v>32</v>
      </c>
      <c r="E15" s="5" t="s">
        <v>33</v>
      </c>
      <c r="F15" s="3" t="s">
        <v>23</v>
      </c>
    </row>
    <row r="16" spans="1:6" x14ac:dyDescent="0.3">
      <c r="A16" s="1" t="s">
        <v>60</v>
      </c>
      <c r="B16" s="1" t="s">
        <v>19</v>
      </c>
      <c r="C16" s="1" t="s">
        <v>61</v>
      </c>
      <c r="D16" s="5" t="s">
        <v>62</v>
      </c>
      <c r="E16" s="5" t="s">
        <v>63</v>
      </c>
      <c r="F16" s="3" t="s">
        <v>23</v>
      </c>
    </row>
    <row r="17" spans="1:6" x14ac:dyDescent="0.3">
      <c r="A17" s="1" t="s">
        <v>64</v>
      </c>
      <c r="B17" s="1" t="s">
        <v>19</v>
      </c>
      <c r="C17" s="1" t="s">
        <v>65</v>
      </c>
      <c r="D17" s="5" t="s">
        <v>66</v>
      </c>
      <c r="E17" s="5" t="s">
        <v>67</v>
      </c>
      <c r="F17" s="3" t="s">
        <v>23</v>
      </c>
    </row>
    <row r="18" spans="1:6" x14ac:dyDescent="0.3">
      <c r="A18" s="1" t="s">
        <v>68</v>
      </c>
      <c r="B18" s="1" t="s">
        <v>19</v>
      </c>
      <c r="C18" s="1" t="s">
        <v>69</v>
      </c>
      <c r="D18" s="5" t="s">
        <v>70</v>
      </c>
      <c r="E18" s="5" t="s">
        <v>71</v>
      </c>
      <c r="F18" s="3" t="s">
        <v>23</v>
      </c>
    </row>
    <row r="19" spans="1:6" x14ac:dyDescent="0.3">
      <c r="A19" s="1" t="s">
        <v>72</v>
      </c>
      <c r="B19" s="1" t="s">
        <v>73</v>
      </c>
      <c r="C19" s="1" t="s">
        <v>74</v>
      </c>
      <c r="D19" s="5" t="s">
        <v>67</v>
      </c>
      <c r="E19" s="5" t="s">
        <v>75</v>
      </c>
      <c r="F19" s="3" t="s">
        <v>23</v>
      </c>
    </row>
    <row r="20" spans="1:6" x14ac:dyDescent="0.3">
      <c r="A20" s="1" t="s">
        <v>76</v>
      </c>
      <c r="B20" s="1" t="s">
        <v>73</v>
      </c>
      <c r="C20" s="1" t="s">
        <v>77</v>
      </c>
      <c r="D20" s="5" t="s">
        <v>78</v>
      </c>
      <c r="E20" s="5" t="s">
        <v>78</v>
      </c>
      <c r="F20" s="3" t="s">
        <v>23</v>
      </c>
    </row>
    <row r="21" spans="1:6" x14ac:dyDescent="0.3">
      <c r="A21" s="1" t="s">
        <v>79</v>
      </c>
      <c r="B21" s="1" t="s">
        <v>73</v>
      </c>
      <c r="C21" s="1" t="s">
        <v>80</v>
      </c>
      <c r="D21" s="5" t="s">
        <v>78</v>
      </c>
      <c r="E21" s="5" t="s">
        <v>78</v>
      </c>
      <c r="F21" s="3" t="s">
        <v>23</v>
      </c>
    </row>
    <row r="22" spans="1:6" x14ac:dyDescent="0.3">
      <c r="A22" s="1" t="s">
        <v>81</v>
      </c>
      <c r="B22" s="1" t="s">
        <v>73</v>
      </c>
      <c r="C22" s="1" t="s">
        <v>82</v>
      </c>
      <c r="D22" s="5" t="s">
        <v>83</v>
      </c>
      <c r="E22" s="5" t="s">
        <v>83</v>
      </c>
      <c r="F22" s="3" t="s">
        <v>23</v>
      </c>
    </row>
    <row r="23" spans="1:6" x14ac:dyDescent="0.3">
      <c r="A23" s="1" t="s">
        <v>84</v>
      </c>
      <c r="B23" s="1" t="s">
        <v>73</v>
      </c>
      <c r="C23" s="1" t="s">
        <v>85</v>
      </c>
      <c r="D23" s="5" t="s">
        <v>86</v>
      </c>
      <c r="E23" s="5" t="s">
        <v>86</v>
      </c>
      <c r="F23" s="3" t="s">
        <v>23</v>
      </c>
    </row>
    <row r="24" spans="1:6" x14ac:dyDescent="0.3">
      <c r="A24" s="1" t="s">
        <v>87</v>
      </c>
      <c r="B24" s="1" t="s">
        <v>19</v>
      </c>
      <c r="C24" s="1" t="s">
        <v>88</v>
      </c>
      <c r="D24" s="5" t="s">
        <v>89</v>
      </c>
      <c r="E24" s="5" t="s">
        <v>90</v>
      </c>
      <c r="F24" s="3" t="s">
        <v>23</v>
      </c>
    </row>
    <row r="25" spans="1:6" x14ac:dyDescent="0.3">
      <c r="A25" s="1" t="s">
        <v>91</v>
      </c>
      <c r="B25" s="1" t="s">
        <v>19</v>
      </c>
      <c r="C25" s="1" t="s">
        <v>92</v>
      </c>
      <c r="D25" s="5" t="s">
        <v>93</v>
      </c>
      <c r="E25" s="5" t="s">
        <v>94</v>
      </c>
      <c r="F25" s="3" t="s">
        <v>23</v>
      </c>
    </row>
    <row r="26" spans="1:6" x14ac:dyDescent="0.3">
      <c r="A26" s="1" t="s">
        <v>95</v>
      </c>
      <c r="B26" s="1" t="s">
        <v>19</v>
      </c>
      <c r="C26" s="1" t="s">
        <v>96</v>
      </c>
      <c r="D26" s="5" t="s">
        <v>97</v>
      </c>
      <c r="E26" s="5" t="s">
        <v>98</v>
      </c>
      <c r="F26" s="3" t="s">
        <v>23</v>
      </c>
    </row>
    <row r="27" spans="1:6" x14ac:dyDescent="0.3">
      <c r="A27" s="1" t="s">
        <v>99</v>
      </c>
      <c r="B27" s="1" t="s">
        <v>19</v>
      </c>
      <c r="C27" s="1" t="s">
        <v>100</v>
      </c>
      <c r="D27" s="5" t="s">
        <v>101</v>
      </c>
      <c r="E27" s="5" t="s">
        <v>102</v>
      </c>
      <c r="F27" s="3" t="s">
        <v>23</v>
      </c>
    </row>
    <row r="28" spans="1:6" x14ac:dyDescent="0.3">
      <c r="A28" s="1" t="s">
        <v>103</v>
      </c>
      <c r="B28" s="1" t="s">
        <v>19</v>
      </c>
      <c r="C28" s="1" t="s">
        <v>104</v>
      </c>
      <c r="D28" s="5" t="s">
        <v>105</v>
      </c>
      <c r="E28" s="5" t="s">
        <v>106</v>
      </c>
      <c r="F28" s="3" t="s">
        <v>23</v>
      </c>
    </row>
    <row r="29" spans="1:6" x14ac:dyDescent="0.3">
      <c r="A29" s="1" t="s">
        <v>107</v>
      </c>
      <c r="B29" s="1" t="s">
        <v>19</v>
      </c>
      <c r="C29" s="1" t="s">
        <v>108</v>
      </c>
      <c r="D29" s="5" t="s">
        <v>36</v>
      </c>
      <c r="E29" s="5" t="s">
        <v>36</v>
      </c>
      <c r="F29" s="3" t="s">
        <v>23</v>
      </c>
    </row>
    <row r="30" spans="1:6" x14ac:dyDescent="0.3">
      <c r="A30" s="1" t="s">
        <v>109</v>
      </c>
      <c r="B30" s="1" t="s">
        <v>19</v>
      </c>
      <c r="C30" s="1" t="s">
        <v>110</v>
      </c>
      <c r="D30" s="5" t="s">
        <v>44</v>
      </c>
      <c r="E30" s="5" t="s">
        <v>111</v>
      </c>
      <c r="F30" s="3" t="s">
        <v>23</v>
      </c>
    </row>
    <row r="31" spans="1:6" x14ac:dyDescent="0.3">
      <c r="A31" s="1" t="s">
        <v>112</v>
      </c>
      <c r="B31" s="1" t="s">
        <v>19</v>
      </c>
      <c r="C31" s="1" t="s">
        <v>113</v>
      </c>
      <c r="D31" s="5" t="s">
        <v>29</v>
      </c>
      <c r="E31" s="5" t="s">
        <v>29</v>
      </c>
      <c r="F31" s="3" t="s">
        <v>23</v>
      </c>
    </row>
    <row r="32" spans="1:6" x14ac:dyDescent="0.3">
      <c r="A32" s="1" t="s">
        <v>114</v>
      </c>
      <c r="B32" s="1" t="s">
        <v>19</v>
      </c>
      <c r="C32" s="1" t="s">
        <v>115</v>
      </c>
      <c r="D32" s="5" t="s">
        <v>116</v>
      </c>
      <c r="E32" s="5" t="s">
        <v>117</v>
      </c>
      <c r="F32" s="3" t="s">
        <v>23</v>
      </c>
    </row>
    <row r="33" spans="1:6" x14ac:dyDescent="0.3">
      <c r="A33" s="1" t="s">
        <v>118</v>
      </c>
      <c r="B33" s="1" t="s">
        <v>19</v>
      </c>
      <c r="C33" s="1" t="s">
        <v>119</v>
      </c>
      <c r="D33" s="5" t="s">
        <v>117</v>
      </c>
      <c r="E33" s="5" t="s">
        <v>120</v>
      </c>
      <c r="F33" s="3" t="s">
        <v>23</v>
      </c>
    </row>
    <row r="34" spans="1:6" x14ac:dyDescent="0.3">
      <c r="A34" s="1" t="s">
        <v>121</v>
      </c>
      <c r="B34" s="1" t="s">
        <v>73</v>
      </c>
      <c r="C34" s="1" t="s">
        <v>122</v>
      </c>
      <c r="D34" s="5" t="s">
        <v>123</v>
      </c>
      <c r="E34" s="5" t="s">
        <v>124</v>
      </c>
      <c r="F34" s="3" t="s">
        <v>23</v>
      </c>
    </row>
    <row r="35" spans="1:6" x14ac:dyDescent="0.3">
      <c r="A35" s="1" t="s">
        <v>125</v>
      </c>
      <c r="B35" s="1" t="s">
        <v>73</v>
      </c>
      <c r="C35" s="1" t="s">
        <v>126</v>
      </c>
      <c r="D35" s="5" t="s">
        <v>86</v>
      </c>
      <c r="E35" s="5" t="s">
        <v>86</v>
      </c>
      <c r="F35" s="3" t="s">
        <v>23</v>
      </c>
    </row>
    <row r="36" spans="1:6" x14ac:dyDescent="0.3">
      <c r="A36" s="1" t="s">
        <v>127</v>
      </c>
      <c r="B36" s="1" t="s">
        <v>73</v>
      </c>
      <c r="C36" s="1" t="s">
        <v>128</v>
      </c>
      <c r="D36" s="5" t="s">
        <v>129</v>
      </c>
      <c r="E36" s="5" t="s">
        <v>129</v>
      </c>
      <c r="F36" s="3" t="s">
        <v>23</v>
      </c>
    </row>
    <row r="37" spans="1:6" x14ac:dyDescent="0.3">
      <c r="A37" s="1" t="s">
        <v>130</v>
      </c>
      <c r="B37" s="1" t="s">
        <v>73</v>
      </c>
      <c r="C37" s="1" t="s">
        <v>131</v>
      </c>
      <c r="D37" s="5" t="s">
        <v>86</v>
      </c>
      <c r="E37" s="5" t="s">
        <v>86</v>
      </c>
      <c r="F37" s="3" t="s">
        <v>23</v>
      </c>
    </row>
    <row r="38" spans="1:6" x14ac:dyDescent="0.3">
      <c r="A38" s="1" t="s">
        <v>132</v>
      </c>
      <c r="B38" s="1" t="s">
        <v>73</v>
      </c>
      <c r="C38" s="1" t="s">
        <v>133</v>
      </c>
      <c r="D38" s="5" t="s">
        <v>129</v>
      </c>
      <c r="E38" s="5" t="s">
        <v>129</v>
      </c>
      <c r="F38" s="3" t="s">
        <v>23</v>
      </c>
    </row>
    <row r="39" spans="1:6" x14ac:dyDescent="0.3">
      <c r="A39" s="1" t="s">
        <v>134</v>
      </c>
      <c r="B39" s="1" t="s">
        <v>73</v>
      </c>
      <c r="C39" s="1" t="s">
        <v>135</v>
      </c>
      <c r="D39" s="5" t="s">
        <v>86</v>
      </c>
      <c r="E39" s="5" t="s">
        <v>86</v>
      </c>
      <c r="F39" s="3" t="s">
        <v>23</v>
      </c>
    </row>
    <row r="40" spans="1:6" x14ac:dyDescent="0.3">
      <c r="A40" s="1" t="s">
        <v>136</v>
      </c>
      <c r="B40" s="1" t="s">
        <v>73</v>
      </c>
      <c r="C40" s="1" t="s">
        <v>137</v>
      </c>
      <c r="D40" s="5" t="s">
        <v>129</v>
      </c>
      <c r="E40" s="5" t="s">
        <v>129</v>
      </c>
      <c r="F40" s="3" t="s">
        <v>23</v>
      </c>
    </row>
    <row r="41" spans="1:6" x14ac:dyDescent="0.3">
      <c r="A41" s="1" t="s">
        <v>138</v>
      </c>
      <c r="B41" s="1" t="s">
        <v>73</v>
      </c>
      <c r="C41" s="1" t="s">
        <v>139</v>
      </c>
      <c r="D41" s="5" t="s">
        <v>129</v>
      </c>
      <c r="E41" s="5" t="s">
        <v>129</v>
      </c>
      <c r="F41" s="3" t="s">
        <v>23</v>
      </c>
    </row>
    <row r="42" spans="1:6" x14ac:dyDescent="0.3">
      <c r="A42" s="1" t="s">
        <v>140</v>
      </c>
      <c r="B42" s="1" t="s">
        <v>73</v>
      </c>
      <c r="C42" s="1" t="s">
        <v>141</v>
      </c>
      <c r="D42" s="5" t="s">
        <v>129</v>
      </c>
      <c r="E42" s="5" t="s">
        <v>129</v>
      </c>
      <c r="F42" s="3" t="s">
        <v>23</v>
      </c>
    </row>
    <row r="43" spans="1:6" x14ac:dyDescent="0.3">
      <c r="A43" s="1" t="s">
        <v>142</v>
      </c>
      <c r="B43" s="1" t="s">
        <v>73</v>
      </c>
      <c r="C43" s="1" t="s">
        <v>143</v>
      </c>
      <c r="D43" s="5" t="s">
        <v>129</v>
      </c>
      <c r="E43" s="5" t="s">
        <v>129</v>
      </c>
      <c r="F43" s="3" t="s">
        <v>23</v>
      </c>
    </row>
    <row r="44" spans="1:6" x14ac:dyDescent="0.3">
      <c r="A44" s="1" t="s">
        <v>144</v>
      </c>
      <c r="B44" s="1" t="s">
        <v>19</v>
      </c>
      <c r="C44" s="1" t="s">
        <v>145</v>
      </c>
      <c r="D44" s="5" t="s">
        <v>146</v>
      </c>
      <c r="E44" s="5" t="s">
        <v>147</v>
      </c>
      <c r="F44" s="3" t="s">
        <v>23</v>
      </c>
    </row>
    <row r="45" spans="1:6" x14ac:dyDescent="0.3">
      <c r="A45" s="1" t="s">
        <v>148</v>
      </c>
      <c r="B45" s="1" t="s">
        <v>19</v>
      </c>
      <c r="C45" s="1" t="s">
        <v>149</v>
      </c>
      <c r="D45" s="5" t="s">
        <v>117</v>
      </c>
      <c r="E45" s="5" t="s">
        <v>120</v>
      </c>
      <c r="F45" s="3" t="s">
        <v>23</v>
      </c>
    </row>
    <row r="46" spans="1:6" x14ac:dyDescent="0.3">
      <c r="A46" s="1" t="s">
        <v>150</v>
      </c>
      <c r="B46" s="1" t="s">
        <v>19</v>
      </c>
      <c r="C46" s="1" t="s">
        <v>151</v>
      </c>
      <c r="D46" s="5" t="s">
        <v>36</v>
      </c>
      <c r="E46" s="5" t="s">
        <v>36</v>
      </c>
      <c r="F46" s="3" t="s">
        <v>23</v>
      </c>
    </row>
    <row r="47" spans="1:6" x14ac:dyDescent="0.3">
      <c r="A47" s="1" t="s">
        <v>152</v>
      </c>
      <c r="B47" s="1" t="s">
        <v>19</v>
      </c>
      <c r="C47" s="1" t="s">
        <v>153</v>
      </c>
      <c r="D47" s="5" t="s">
        <v>29</v>
      </c>
      <c r="E47" s="5" t="s">
        <v>29</v>
      </c>
      <c r="F47" s="3" t="s">
        <v>23</v>
      </c>
    </row>
    <row r="48" spans="1:6" x14ac:dyDescent="0.3">
      <c r="A48" s="1" t="s">
        <v>154</v>
      </c>
      <c r="B48" s="1" t="s">
        <v>19</v>
      </c>
      <c r="C48" s="1" t="s">
        <v>155</v>
      </c>
      <c r="D48" s="5" t="s">
        <v>29</v>
      </c>
      <c r="E48" s="5" t="s">
        <v>29</v>
      </c>
      <c r="F48" s="3" t="s">
        <v>23</v>
      </c>
    </row>
    <row r="49" spans="1:6" x14ac:dyDescent="0.3">
      <c r="A49" s="1" t="s">
        <v>156</v>
      </c>
      <c r="B49" s="1" t="s">
        <v>19</v>
      </c>
      <c r="C49" s="1" t="s">
        <v>157</v>
      </c>
      <c r="D49" s="5" t="s">
        <v>158</v>
      </c>
      <c r="E49" s="5" t="s">
        <v>158</v>
      </c>
      <c r="F49" s="3" t="s">
        <v>23</v>
      </c>
    </row>
    <row r="50" spans="1:6" x14ac:dyDescent="0.3">
      <c r="A50" s="1" t="s">
        <v>159</v>
      </c>
      <c r="B50" s="1" t="s">
        <v>13</v>
      </c>
      <c r="C50" s="1" t="s">
        <v>160</v>
      </c>
      <c r="D50" s="5" t="s">
        <v>161</v>
      </c>
      <c r="E50" s="5" t="s">
        <v>162</v>
      </c>
      <c r="F50" s="3" t="s">
        <v>163</v>
      </c>
    </row>
    <row r="51" spans="1:6" x14ac:dyDescent="0.3">
      <c r="A51" s="1" t="s">
        <v>164</v>
      </c>
      <c r="B51" s="1" t="s">
        <v>13</v>
      </c>
      <c r="C51" s="1" t="s">
        <v>165</v>
      </c>
      <c r="D51" s="5" t="s">
        <v>166</v>
      </c>
      <c r="E51" s="5" t="s">
        <v>167</v>
      </c>
      <c r="F51" s="3" t="s">
        <v>168</v>
      </c>
    </row>
    <row r="52" spans="1:6" x14ac:dyDescent="0.3">
      <c r="A52" s="1" t="s">
        <v>169</v>
      </c>
      <c r="B52" s="1" t="s">
        <v>13</v>
      </c>
      <c r="C52" s="1" t="s">
        <v>170</v>
      </c>
      <c r="D52" s="5" t="s">
        <v>171</v>
      </c>
      <c r="E52" s="5" t="s">
        <v>172</v>
      </c>
      <c r="F52" s="3" t="s">
        <v>173</v>
      </c>
    </row>
    <row r="53" spans="1:6" x14ac:dyDescent="0.3">
      <c r="A53" s="1" t="s">
        <v>174</v>
      </c>
      <c r="B53" s="1" t="s">
        <v>13</v>
      </c>
      <c r="C53" s="1" t="s">
        <v>175</v>
      </c>
      <c r="D53" s="5" t="s">
        <v>176</v>
      </c>
      <c r="E53" s="5" t="s">
        <v>177</v>
      </c>
      <c r="F53" s="3" t="s">
        <v>178</v>
      </c>
    </row>
    <row r="54" spans="1:6" x14ac:dyDescent="0.3">
      <c r="A54" s="1" t="s">
        <v>179</v>
      </c>
      <c r="B54" s="1" t="s">
        <v>13</v>
      </c>
      <c r="C54" s="1" t="s">
        <v>180</v>
      </c>
      <c r="D54" s="5" t="s">
        <v>181</v>
      </c>
      <c r="E54" s="5" t="s">
        <v>182</v>
      </c>
      <c r="F54" s="3" t="s">
        <v>183</v>
      </c>
    </row>
    <row r="55" spans="1:6" x14ac:dyDescent="0.3">
      <c r="A55" s="1" t="s">
        <v>184</v>
      </c>
      <c r="B55" s="1" t="s">
        <v>13</v>
      </c>
      <c r="C55" s="1" t="s">
        <v>185</v>
      </c>
      <c r="D55" s="5" t="s">
        <v>186</v>
      </c>
      <c r="E55" s="5" t="s">
        <v>187</v>
      </c>
      <c r="F55" s="3" t="s">
        <v>188</v>
      </c>
    </row>
    <row r="56" spans="1:6" x14ac:dyDescent="0.3">
      <c r="A56" s="1" t="s">
        <v>189</v>
      </c>
      <c r="B56" s="1" t="s">
        <v>13</v>
      </c>
      <c r="C56" s="1" t="s">
        <v>190</v>
      </c>
      <c r="D56" s="5" t="s">
        <v>191</v>
      </c>
      <c r="E56" s="5" t="s">
        <v>192</v>
      </c>
      <c r="F56" s="3" t="s">
        <v>193</v>
      </c>
    </row>
    <row r="57" spans="1:6" x14ac:dyDescent="0.3">
      <c r="A57" s="1" t="s">
        <v>194</v>
      </c>
      <c r="B57" s="1" t="s">
        <v>13</v>
      </c>
      <c r="C57" s="1" t="s">
        <v>195</v>
      </c>
      <c r="D57" s="5" t="s">
        <v>196</v>
      </c>
      <c r="E57" s="5" t="s">
        <v>197</v>
      </c>
      <c r="F57" s="3" t="s">
        <v>198</v>
      </c>
    </row>
    <row r="58" spans="1:6" x14ac:dyDescent="0.3">
      <c r="A58" s="1" t="s">
        <v>199</v>
      </c>
      <c r="B58" s="1" t="s">
        <v>13</v>
      </c>
      <c r="C58" s="1" t="s">
        <v>200</v>
      </c>
      <c r="D58" s="5" t="s">
        <v>201</v>
      </c>
      <c r="E58" s="5" t="s">
        <v>202</v>
      </c>
      <c r="F58" s="3" t="s">
        <v>203</v>
      </c>
    </row>
    <row r="59" spans="1:6" x14ac:dyDescent="0.3">
      <c r="A59" s="1" t="s">
        <v>204</v>
      </c>
      <c r="B59" s="1" t="s">
        <v>13</v>
      </c>
      <c r="C59" s="1" t="s">
        <v>205</v>
      </c>
      <c r="D59" s="5" t="s">
        <v>206</v>
      </c>
      <c r="E59" s="5" t="s">
        <v>207</v>
      </c>
      <c r="F59" s="3" t="s">
        <v>208</v>
      </c>
    </row>
    <row r="60" spans="1:6" x14ac:dyDescent="0.3">
      <c r="A60" s="1" t="s">
        <v>209</v>
      </c>
      <c r="B60" s="1" t="s">
        <v>13</v>
      </c>
      <c r="C60" s="1" t="s">
        <v>210</v>
      </c>
      <c r="D60" s="5" t="s">
        <v>211</v>
      </c>
      <c r="E60" s="5" t="s">
        <v>212</v>
      </c>
      <c r="F60" s="3" t="s">
        <v>213</v>
      </c>
    </row>
    <row r="61" spans="1:6" x14ac:dyDescent="0.3">
      <c r="A61" s="1" t="s">
        <v>214</v>
      </c>
      <c r="B61" s="1" t="s">
        <v>13</v>
      </c>
      <c r="C61" s="1" t="s">
        <v>215</v>
      </c>
      <c r="D61" s="5" t="s">
        <v>216</v>
      </c>
      <c r="E61" s="5" t="s">
        <v>217</v>
      </c>
      <c r="F61" s="3" t="s">
        <v>218</v>
      </c>
    </row>
    <row r="62" spans="1:6" x14ac:dyDescent="0.3">
      <c r="A62" s="1" t="s">
        <v>219</v>
      </c>
      <c r="B62" s="1" t="s">
        <v>13</v>
      </c>
      <c r="C62" s="1" t="s">
        <v>220</v>
      </c>
      <c r="D62" s="5" t="s">
        <v>221</v>
      </c>
      <c r="E62" s="5" t="s">
        <v>222</v>
      </c>
      <c r="F62" s="3" t="s">
        <v>223</v>
      </c>
    </row>
    <row r="63" spans="1:6" x14ac:dyDescent="0.3">
      <c r="A63" s="1" t="s">
        <v>224</v>
      </c>
      <c r="B63" s="1" t="s">
        <v>13</v>
      </c>
      <c r="C63" s="1" t="s">
        <v>225</v>
      </c>
      <c r="D63" s="5" t="s">
        <v>226</v>
      </c>
      <c r="E63" s="5" t="s">
        <v>227</v>
      </c>
      <c r="F63" s="3" t="s">
        <v>228</v>
      </c>
    </row>
    <row r="64" spans="1:6" x14ac:dyDescent="0.3">
      <c r="A64" s="1" t="s">
        <v>229</v>
      </c>
      <c r="B64" s="1" t="s">
        <v>13</v>
      </c>
      <c r="C64" s="1" t="s">
        <v>230</v>
      </c>
      <c r="D64" s="5" t="s">
        <v>231</v>
      </c>
      <c r="E64" s="5" t="s">
        <v>232</v>
      </c>
      <c r="F64" s="3" t="s">
        <v>233</v>
      </c>
    </row>
    <row r="65" spans="1:6" x14ac:dyDescent="0.3">
      <c r="A65" s="1" t="s">
        <v>234</v>
      </c>
      <c r="B65" s="1" t="s">
        <v>13</v>
      </c>
      <c r="C65" s="1" t="s">
        <v>235</v>
      </c>
      <c r="D65" s="5" t="s">
        <v>236</v>
      </c>
      <c r="E65" s="5" t="s">
        <v>237</v>
      </c>
      <c r="F65" s="3" t="s">
        <v>238</v>
      </c>
    </row>
    <row r="66" spans="1:6" x14ac:dyDescent="0.3">
      <c r="A66" s="1" t="s">
        <v>239</v>
      </c>
      <c r="B66" s="1" t="s">
        <v>13</v>
      </c>
      <c r="C66" s="1" t="s">
        <v>240</v>
      </c>
      <c r="D66" s="5" t="s">
        <v>241</v>
      </c>
      <c r="E66" s="5" t="s">
        <v>242</v>
      </c>
      <c r="F66" s="3" t="s">
        <v>243</v>
      </c>
    </row>
    <row r="67" spans="1:6" x14ac:dyDescent="0.3">
      <c r="A67" s="1" t="s">
        <v>244</v>
      </c>
      <c r="B67" s="1" t="s">
        <v>13</v>
      </c>
      <c r="C67" s="1" t="s">
        <v>245</v>
      </c>
      <c r="D67" s="5" t="s">
        <v>246</v>
      </c>
      <c r="E67" s="5" t="s">
        <v>247</v>
      </c>
      <c r="F67" s="3" t="s">
        <v>248</v>
      </c>
    </row>
    <row r="68" spans="1:6" x14ac:dyDescent="0.3">
      <c r="A68" s="1" t="s">
        <v>249</v>
      </c>
      <c r="B68" s="1" t="s">
        <v>73</v>
      </c>
      <c r="C68" s="1" t="s">
        <v>250</v>
      </c>
      <c r="D68" s="5" t="s">
        <v>251</v>
      </c>
      <c r="E68" s="5" t="s">
        <v>252</v>
      </c>
      <c r="F68" s="3" t="s">
        <v>23</v>
      </c>
    </row>
    <row r="69" spans="1:6" x14ac:dyDescent="0.3">
      <c r="A69" s="1" t="s">
        <v>253</v>
      </c>
      <c r="B69" s="1" t="s">
        <v>13</v>
      </c>
      <c r="C69" s="1" t="s">
        <v>254</v>
      </c>
      <c r="D69" s="5" t="s">
        <v>255</v>
      </c>
      <c r="E69" s="5" t="s">
        <v>256</v>
      </c>
      <c r="F69" s="3" t="s">
        <v>257</v>
      </c>
    </row>
    <row r="70" spans="1:6" x14ac:dyDescent="0.3">
      <c r="A70" s="1" t="s">
        <v>258</v>
      </c>
      <c r="B70" s="1" t="s">
        <v>19</v>
      </c>
      <c r="C70" s="1" t="s">
        <v>259</v>
      </c>
      <c r="D70" s="5" t="s">
        <v>260</v>
      </c>
      <c r="E70" s="5" t="s">
        <v>261</v>
      </c>
      <c r="F70" s="3" t="s">
        <v>23</v>
      </c>
    </row>
    <row r="71" spans="1:6" x14ac:dyDescent="0.3">
      <c r="A71" s="1" t="s">
        <v>262</v>
      </c>
      <c r="B71" s="1" t="s">
        <v>19</v>
      </c>
      <c r="C71" s="1" t="s">
        <v>263</v>
      </c>
      <c r="D71" s="5" t="s">
        <v>264</v>
      </c>
      <c r="E71" s="5" t="s">
        <v>265</v>
      </c>
      <c r="F71" s="3" t="s">
        <v>23</v>
      </c>
    </row>
    <row r="72" spans="1:6" x14ac:dyDescent="0.3">
      <c r="A72" s="1" t="s">
        <v>266</v>
      </c>
      <c r="B72" s="1" t="s">
        <v>19</v>
      </c>
      <c r="C72" s="1" t="s">
        <v>267</v>
      </c>
      <c r="D72" s="5" t="s">
        <v>268</v>
      </c>
      <c r="E72" s="5" t="s">
        <v>268</v>
      </c>
      <c r="F72" s="3" t="s">
        <v>23</v>
      </c>
    </row>
    <row r="73" spans="1:6" x14ac:dyDescent="0.3">
      <c r="A73" s="1" t="s">
        <v>269</v>
      </c>
      <c r="B73" s="1" t="s">
        <v>19</v>
      </c>
      <c r="C73" s="1" t="s">
        <v>270</v>
      </c>
      <c r="D73" s="5" t="s">
        <v>271</v>
      </c>
      <c r="E73" s="5" t="s">
        <v>272</v>
      </c>
      <c r="F73" s="3" t="s">
        <v>23</v>
      </c>
    </row>
    <row r="74" spans="1:6" x14ac:dyDescent="0.3">
      <c r="A74" s="1" t="s">
        <v>273</v>
      </c>
      <c r="B74" s="1" t="s">
        <v>19</v>
      </c>
      <c r="C74" s="1" t="s">
        <v>274</v>
      </c>
      <c r="D74" s="5" t="s">
        <v>275</v>
      </c>
      <c r="E74" s="5" t="s">
        <v>276</v>
      </c>
      <c r="F74" s="3" t="s">
        <v>23</v>
      </c>
    </row>
    <row r="75" spans="1:6" x14ac:dyDescent="0.3">
      <c r="A75" s="1" t="s">
        <v>277</v>
      </c>
      <c r="B75" s="1" t="s">
        <v>19</v>
      </c>
      <c r="C75" s="1" t="s">
        <v>278</v>
      </c>
      <c r="D75" s="5" t="s">
        <v>279</v>
      </c>
      <c r="E75" s="5" t="s">
        <v>280</v>
      </c>
      <c r="F75" s="3" t="s">
        <v>23</v>
      </c>
    </row>
    <row r="76" spans="1:6" x14ac:dyDescent="0.3">
      <c r="A76" s="1" t="s">
        <v>281</v>
      </c>
      <c r="B76" s="1" t="s">
        <v>13</v>
      </c>
      <c r="C76" s="1" t="s">
        <v>282</v>
      </c>
      <c r="D76" s="5" t="s">
        <v>191</v>
      </c>
      <c r="E76" s="5" t="s">
        <v>192</v>
      </c>
      <c r="F76" s="3" t="s">
        <v>283</v>
      </c>
    </row>
    <row r="77" spans="1:6" x14ac:dyDescent="0.3">
      <c r="A77" s="1" t="s">
        <v>284</v>
      </c>
      <c r="B77" s="1" t="s">
        <v>13</v>
      </c>
      <c r="C77" s="1" t="s">
        <v>285</v>
      </c>
      <c r="D77" s="5" t="s">
        <v>196</v>
      </c>
      <c r="E77" s="5" t="s">
        <v>197</v>
      </c>
      <c r="F77" s="3" t="s">
        <v>286</v>
      </c>
    </row>
    <row r="78" spans="1:6" x14ac:dyDescent="0.3">
      <c r="A78" s="1" t="s">
        <v>287</v>
      </c>
      <c r="B78" s="1" t="s">
        <v>13</v>
      </c>
      <c r="C78" s="1" t="s">
        <v>288</v>
      </c>
      <c r="D78" s="5" t="s">
        <v>201</v>
      </c>
      <c r="E78" s="5" t="s">
        <v>202</v>
      </c>
      <c r="F78" s="3" t="s">
        <v>289</v>
      </c>
    </row>
    <row r="79" spans="1:6" x14ac:dyDescent="0.3">
      <c r="A79" s="1" t="s">
        <v>290</v>
      </c>
      <c r="B79" s="1" t="s">
        <v>13</v>
      </c>
      <c r="C79" s="1" t="s">
        <v>291</v>
      </c>
      <c r="D79" s="5" t="s">
        <v>292</v>
      </c>
      <c r="E79" s="5" t="s">
        <v>293</v>
      </c>
      <c r="F79" s="3" t="s">
        <v>294</v>
      </c>
    </row>
    <row r="80" spans="1:6" x14ac:dyDescent="0.3">
      <c r="A80" s="1" t="s">
        <v>295</v>
      </c>
      <c r="B80" s="1" t="s">
        <v>13</v>
      </c>
      <c r="C80" s="1" t="s">
        <v>296</v>
      </c>
      <c r="D80" s="5" t="s">
        <v>297</v>
      </c>
      <c r="E80" s="5" t="s">
        <v>298</v>
      </c>
      <c r="F80" s="3" t="s">
        <v>299</v>
      </c>
    </row>
    <row r="81" spans="1:6" x14ac:dyDescent="0.3">
      <c r="A81" s="1" t="s">
        <v>300</v>
      </c>
      <c r="B81" s="1" t="s">
        <v>13</v>
      </c>
      <c r="C81" s="1" t="s">
        <v>301</v>
      </c>
      <c r="D81" s="5" t="s">
        <v>302</v>
      </c>
      <c r="E81" s="5" t="s">
        <v>303</v>
      </c>
      <c r="F81" s="3" t="s">
        <v>304</v>
      </c>
    </row>
    <row r="82" spans="1:6" x14ac:dyDescent="0.3">
      <c r="A82" s="1" t="s">
        <v>305</v>
      </c>
      <c r="B82" s="1" t="s">
        <v>13</v>
      </c>
      <c r="C82" s="1" t="s">
        <v>306</v>
      </c>
      <c r="D82" s="5" t="s">
        <v>307</v>
      </c>
      <c r="E82" s="5" t="s">
        <v>308</v>
      </c>
      <c r="F82" s="3" t="s">
        <v>309</v>
      </c>
    </row>
    <row r="83" spans="1:6" x14ac:dyDescent="0.3">
      <c r="A83" s="1" t="s">
        <v>310</v>
      </c>
      <c r="B83" s="1" t="s">
        <v>13</v>
      </c>
      <c r="C83" s="1" t="s">
        <v>311</v>
      </c>
      <c r="D83" s="5" t="s">
        <v>312</v>
      </c>
      <c r="E83" s="5" t="s">
        <v>313</v>
      </c>
      <c r="F83" s="3" t="s">
        <v>314</v>
      </c>
    </row>
    <row r="84" spans="1:6" x14ac:dyDescent="0.3">
      <c r="A84" s="1" t="s">
        <v>315</v>
      </c>
      <c r="B84" s="1" t="s">
        <v>13</v>
      </c>
      <c r="C84" s="1" t="s">
        <v>316</v>
      </c>
      <c r="D84" s="5" t="s">
        <v>176</v>
      </c>
      <c r="E84" s="5" t="s">
        <v>177</v>
      </c>
      <c r="F84" s="3" t="s">
        <v>317</v>
      </c>
    </row>
    <row r="85" spans="1:6" x14ac:dyDescent="0.3">
      <c r="A85" s="1" t="s">
        <v>318</v>
      </c>
      <c r="B85" s="1" t="s">
        <v>13</v>
      </c>
      <c r="C85" s="1" t="s">
        <v>319</v>
      </c>
      <c r="D85" s="5" t="s">
        <v>320</v>
      </c>
      <c r="E85" s="5" t="s">
        <v>321</v>
      </c>
      <c r="F85" s="3" t="s">
        <v>322</v>
      </c>
    </row>
    <row r="86" spans="1:6" x14ac:dyDescent="0.3">
      <c r="A86" s="1" t="s">
        <v>323</v>
      </c>
      <c r="B86" s="1" t="s">
        <v>13</v>
      </c>
      <c r="C86" s="1" t="s">
        <v>324</v>
      </c>
      <c r="D86" s="5" t="s">
        <v>325</v>
      </c>
      <c r="E86" s="5" t="s">
        <v>326</v>
      </c>
      <c r="F86" s="3" t="s">
        <v>327</v>
      </c>
    </row>
    <row r="87" spans="1:6" x14ac:dyDescent="0.3">
      <c r="A87" s="1" t="s">
        <v>328</v>
      </c>
      <c r="B87" s="1" t="s">
        <v>13</v>
      </c>
      <c r="C87" s="1" t="s">
        <v>329</v>
      </c>
      <c r="D87" s="5" t="s">
        <v>313</v>
      </c>
      <c r="E87" s="5" t="s">
        <v>330</v>
      </c>
      <c r="F87" s="3" t="s">
        <v>331</v>
      </c>
    </row>
    <row r="88" spans="1:6" x14ac:dyDescent="0.3">
      <c r="A88" s="1" t="s">
        <v>332</v>
      </c>
      <c r="B88" s="1" t="s">
        <v>13</v>
      </c>
      <c r="C88" s="1" t="s">
        <v>333</v>
      </c>
      <c r="D88" s="5" t="s">
        <v>171</v>
      </c>
      <c r="E88" s="5" t="s">
        <v>172</v>
      </c>
      <c r="F88" s="3" t="s">
        <v>173</v>
      </c>
    </row>
    <row r="89" spans="1:6" x14ac:dyDescent="0.3">
      <c r="A89" s="1" t="s">
        <v>334</v>
      </c>
      <c r="B89" s="1" t="s">
        <v>19</v>
      </c>
      <c r="C89" s="1" t="s">
        <v>335</v>
      </c>
      <c r="D89" s="5" t="s">
        <v>336</v>
      </c>
      <c r="E89" s="5" t="s">
        <v>337</v>
      </c>
      <c r="F89" s="3" t="s">
        <v>23</v>
      </c>
    </row>
    <row r="90" spans="1:6" x14ac:dyDescent="0.3">
      <c r="A90" s="1" t="s">
        <v>338</v>
      </c>
      <c r="B90" s="1" t="s">
        <v>19</v>
      </c>
      <c r="C90" s="1" t="s">
        <v>339</v>
      </c>
      <c r="D90" s="5" t="s">
        <v>340</v>
      </c>
      <c r="E90" s="5" t="s">
        <v>341</v>
      </c>
      <c r="F90" s="3" t="s">
        <v>23</v>
      </c>
    </row>
    <row r="91" spans="1:6" x14ac:dyDescent="0.3">
      <c r="A91" s="1" t="s">
        <v>342</v>
      </c>
      <c r="B91" s="1" t="s">
        <v>13</v>
      </c>
      <c r="C91" s="1" t="s">
        <v>343</v>
      </c>
      <c r="D91" s="5" t="s">
        <v>344</v>
      </c>
      <c r="E91" s="5" t="s">
        <v>345</v>
      </c>
      <c r="F91" s="3" t="s">
        <v>346</v>
      </c>
    </row>
    <row r="92" spans="1:6" x14ac:dyDescent="0.3">
      <c r="A92" s="1" t="s">
        <v>347</v>
      </c>
      <c r="B92" s="1" t="s">
        <v>13</v>
      </c>
      <c r="C92" s="1" t="s">
        <v>348</v>
      </c>
      <c r="D92" s="5" t="s">
        <v>349</v>
      </c>
      <c r="E92" s="5" t="s">
        <v>350</v>
      </c>
      <c r="F92" s="3" t="s">
        <v>351</v>
      </c>
    </row>
    <row r="93" spans="1:6" x14ac:dyDescent="0.3">
      <c r="A93" s="1" t="s">
        <v>352</v>
      </c>
      <c r="B93" s="1" t="s">
        <v>13</v>
      </c>
      <c r="C93" s="1" t="s">
        <v>353</v>
      </c>
      <c r="D93" s="5" t="s">
        <v>354</v>
      </c>
      <c r="E93" s="5" t="s">
        <v>355</v>
      </c>
      <c r="F93" s="3" t="s">
        <v>356</v>
      </c>
    </row>
    <row r="94" spans="1:6" x14ac:dyDescent="0.3">
      <c r="A94" s="1" t="s">
        <v>357</v>
      </c>
      <c r="B94" s="1" t="s">
        <v>358</v>
      </c>
      <c r="C94" s="1" t="s">
        <v>359</v>
      </c>
      <c r="D94" s="5" t="s">
        <v>146</v>
      </c>
      <c r="E94" s="5" t="s">
        <v>147</v>
      </c>
      <c r="F94" s="3" t="s">
        <v>23</v>
      </c>
    </row>
    <row r="95" spans="1:6" x14ac:dyDescent="0.3">
      <c r="A95" s="1" t="s">
        <v>360</v>
      </c>
      <c r="B95" s="1" t="s">
        <v>13</v>
      </c>
      <c r="C95" s="1" t="s">
        <v>361</v>
      </c>
      <c r="D95" s="5" t="s">
        <v>362</v>
      </c>
      <c r="E95" s="5" t="s">
        <v>363</v>
      </c>
      <c r="F95" s="3" t="s">
        <v>364</v>
      </c>
    </row>
    <row r="96" spans="1:6" x14ac:dyDescent="0.3">
      <c r="A96" s="1" t="s">
        <v>365</v>
      </c>
      <c r="B96" s="1" t="s">
        <v>13</v>
      </c>
      <c r="C96" s="1" t="s">
        <v>366</v>
      </c>
      <c r="D96" s="5" t="s">
        <v>367</v>
      </c>
      <c r="E96" s="5" t="s">
        <v>368</v>
      </c>
      <c r="F96" s="3" t="s">
        <v>369</v>
      </c>
    </row>
    <row r="97" spans="1:6" x14ac:dyDescent="0.3">
      <c r="A97" s="1" t="s">
        <v>370</v>
      </c>
      <c r="B97" s="1" t="s">
        <v>13</v>
      </c>
      <c r="C97" s="1" t="s">
        <v>371</v>
      </c>
      <c r="D97" s="5" t="s">
        <v>372</v>
      </c>
      <c r="E97" s="5" t="s">
        <v>373</v>
      </c>
      <c r="F97" s="3" t="s">
        <v>374</v>
      </c>
    </row>
    <row r="98" spans="1:6" x14ac:dyDescent="0.3">
      <c r="A98" s="1" t="s">
        <v>375</v>
      </c>
      <c r="B98" s="1" t="s">
        <v>13</v>
      </c>
      <c r="C98" s="1" t="s">
        <v>376</v>
      </c>
      <c r="D98" s="5" t="s">
        <v>377</v>
      </c>
      <c r="E98" s="5" t="s">
        <v>221</v>
      </c>
      <c r="F98" s="3" t="s">
        <v>378</v>
      </c>
    </row>
    <row r="99" spans="1:6" x14ac:dyDescent="0.3">
      <c r="A99" s="1" t="s">
        <v>379</v>
      </c>
      <c r="B99" s="1" t="s">
        <v>13</v>
      </c>
      <c r="C99" s="1" t="s">
        <v>376</v>
      </c>
      <c r="D99" s="5" t="s">
        <v>380</v>
      </c>
      <c r="E99" s="5" t="s">
        <v>381</v>
      </c>
      <c r="F99" s="3" t="s">
        <v>382</v>
      </c>
    </row>
    <row r="100" spans="1:6" x14ac:dyDescent="0.3">
      <c r="A100" s="1" t="s">
        <v>383</v>
      </c>
      <c r="B100" s="1" t="s">
        <v>13</v>
      </c>
      <c r="C100" s="1" t="s">
        <v>384</v>
      </c>
      <c r="D100" s="5" t="s">
        <v>385</v>
      </c>
      <c r="E100" s="5" t="s">
        <v>386</v>
      </c>
      <c r="F100" s="3" t="s">
        <v>387</v>
      </c>
    </row>
    <row r="101" spans="1:6" x14ac:dyDescent="0.3">
      <c r="A101" s="1" t="s">
        <v>388</v>
      </c>
      <c r="B101" s="1" t="s">
        <v>13</v>
      </c>
      <c r="C101" s="1" t="s">
        <v>389</v>
      </c>
      <c r="D101" s="5" t="s">
        <v>390</v>
      </c>
      <c r="E101" s="5" t="s">
        <v>391</v>
      </c>
      <c r="F101" s="3" t="s">
        <v>392</v>
      </c>
    </row>
    <row r="102" spans="1:6" x14ac:dyDescent="0.3">
      <c r="A102" s="1" t="s">
        <v>393</v>
      </c>
      <c r="B102" s="1" t="s">
        <v>13</v>
      </c>
      <c r="C102" s="1" t="s">
        <v>394</v>
      </c>
      <c r="D102" s="5" t="s">
        <v>395</v>
      </c>
      <c r="E102" s="5" t="s">
        <v>396</v>
      </c>
      <c r="F102" s="3" t="s">
        <v>397</v>
      </c>
    </row>
    <row r="103" spans="1:6" x14ac:dyDescent="0.3">
      <c r="A103" s="1" t="s">
        <v>398</v>
      </c>
      <c r="B103" s="1" t="s">
        <v>13</v>
      </c>
      <c r="C103" s="1" t="s">
        <v>399</v>
      </c>
      <c r="D103" s="5" t="s">
        <v>400</v>
      </c>
      <c r="E103" s="5" t="s">
        <v>206</v>
      </c>
      <c r="F103" s="3" t="s">
        <v>401</v>
      </c>
    </row>
    <row r="104" spans="1:6" x14ac:dyDescent="0.3">
      <c r="A104" s="1" t="s">
        <v>402</v>
      </c>
      <c r="B104" s="1" t="s">
        <v>13</v>
      </c>
      <c r="C104" s="1" t="s">
        <v>403</v>
      </c>
      <c r="D104" s="5" t="s">
        <v>404</v>
      </c>
      <c r="E104" s="5" t="s">
        <v>405</v>
      </c>
      <c r="F104" s="3" t="s">
        <v>406</v>
      </c>
    </row>
    <row r="105" spans="1:6" x14ac:dyDescent="0.3">
      <c r="A105" s="1" t="s">
        <v>407</v>
      </c>
      <c r="B105" s="1" t="s">
        <v>358</v>
      </c>
      <c r="C105" s="1" t="s">
        <v>408</v>
      </c>
      <c r="D105" s="5" t="s">
        <v>111</v>
      </c>
      <c r="E105" s="5" t="s">
        <v>47</v>
      </c>
      <c r="F105" s="3" t="s">
        <v>23</v>
      </c>
    </row>
    <row r="106" spans="1:6" x14ac:dyDescent="0.3">
      <c r="A106" s="1" t="s">
        <v>409</v>
      </c>
      <c r="B106" s="1" t="s">
        <v>358</v>
      </c>
      <c r="C106" s="1" t="s">
        <v>410</v>
      </c>
      <c r="D106" s="5" t="s">
        <v>86</v>
      </c>
      <c r="E106" s="5" t="s">
        <v>86</v>
      </c>
      <c r="F106" s="3" t="s">
        <v>23</v>
      </c>
    </row>
    <row r="107" spans="1:6" x14ac:dyDescent="0.3">
      <c r="A107" s="1" t="s">
        <v>411</v>
      </c>
      <c r="B107" s="1" t="s">
        <v>358</v>
      </c>
      <c r="C107" s="1" t="s">
        <v>412</v>
      </c>
      <c r="D107" s="5" t="s">
        <v>78</v>
      </c>
      <c r="E107" s="5" t="s">
        <v>78</v>
      </c>
      <c r="F107" s="3" t="s">
        <v>23</v>
      </c>
    </row>
    <row r="108" spans="1:6" x14ac:dyDescent="0.3">
      <c r="A108" s="1" t="s">
        <v>413</v>
      </c>
      <c r="B108" s="1" t="s">
        <v>358</v>
      </c>
      <c r="C108" s="1" t="s">
        <v>414</v>
      </c>
      <c r="D108" s="5" t="s">
        <v>86</v>
      </c>
      <c r="E108" s="5" t="s">
        <v>86</v>
      </c>
      <c r="F108" s="3" t="s">
        <v>23</v>
      </c>
    </row>
    <row r="109" spans="1:6" x14ac:dyDescent="0.3">
      <c r="A109" s="1" t="s">
        <v>415</v>
      </c>
      <c r="B109" s="1" t="s">
        <v>358</v>
      </c>
      <c r="C109" s="1" t="s">
        <v>416</v>
      </c>
      <c r="D109" s="5" t="s">
        <v>86</v>
      </c>
      <c r="E109" s="5" t="s">
        <v>86</v>
      </c>
      <c r="F109" s="3" t="s">
        <v>23</v>
      </c>
    </row>
    <row r="110" spans="1:6" x14ac:dyDescent="0.3">
      <c r="A110" s="1" t="s">
        <v>417</v>
      </c>
      <c r="B110" s="1" t="s">
        <v>358</v>
      </c>
      <c r="C110" s="1" t="s">
        <v>418</v>
      </c>
      <c r="D110" s="5" t="s">
        <v>419</v>
      </c>
      <c r="E110" s="5" t="s">
        <v>420</v>
      </c>
      <c r="F110" s="3" t="s">
        <v>23</v>
      </c>
    </row>
    <row r="111" spans="1:6" x14ac:dyDescent="0.3">
      <c r="A111" s="1" t="s">
        <v>421</v>
      </c>
      <c r="B111" s="1" t="s">
        <v>358</v>
      </c>
      <c r="C111" s="1" t="s">
        <v>422</v>
      </c>
      <c r="D111" s="5" t="s">
        <v>423</v>
      </c>
      <c r="E111" s="5" t="s">
        <v>424</v>
      </c>
      <c r="F111" s="3" t="s">
        <v>23</v>
      </c>
    </row>
    <row r="112" spans="1:6" x14ac:dyDescent="0.3">
      <c r="A112" s="1" t="s">
        <v>425</v>
      </c>
      <c r="B112" s="1" t="s">
        <v>13</v>
      </c>
      <c r="C112" s="1" t="s">
        <v>426</v>
      </c>
      <c r="D112" s="5" t="s">
        <v>427</v>
      </c>
      <c r="E112" s="5" t="s">
        <v>428</v>
      </c>
      <c r="F112" s="3" t="s">
        <v>429</v>
      </c>
    </row>
    <row r="113" spans="1:6" x14ac:dyDescent="0.3">
      <c r="A113" s="1" t="s">
        <v>430</v>
      </c>
      <c r="B113" s="1" t="s">
        <v>13</v>
      </c>
      <c r="C113" s="1" t="s">
        <v>431</v>
      </c>
      <c r="D113" s="5" t="s">
        <v>432</v>
      </c>
      <c r="E113" s="5" t="s">
        <v>433</v>
      </c>
      <c r="F113" s="3" t="s">
        <v>434</v>
      </c>
    </row>
    <row r="114" spans="1:6" x14ac:dyDescent="0.3">
      <c r="A114" s="1" t="s">
        <v>435</v>
      </c>
      <c r="B114" s="1" t="s">
        <v>13</v>
      </c>
      <c r="C114" s="1" t="s">
        <v>384</v>
      </c>
      <c r="D114" s="5" t="s">
        <v>436</v>
      </c>
      <c r="E114" s="5" t="s">
        <v>437</v>
      </c>
      <c r="F114" s="3" t="s">
        <v>438</v>
      </c>
    </row>
    <row r="115" spans="1:6" x14ac:dyDescent="0.3">
      <c r="A115" s="1" t="s">
        <v>439</v>
      </c>
      <c r="B115" s="1" t="s">
        <v>13</v>
      </c>
      <c r="C115" s="1" t="s">
        <v>440</v>
      </c>
      <c r="D115" s="5" t="s">
        <v>436</v>
      </c>
      <c r="E115" s="5" t="s">
        <v>437</v>
      </c>
      <c r="F115" s="3" t="s">
        <v>441</v>
      </c>
    </row>
    <row r="116" spans="1:6" x14ac:dyDescent="0.3">
      <c r="A116" s="1" t="s">
        <v>442</v>
      </c>
      <c r="B116" s="1" t="s">
        <v>13</v>
      </c>
      <c r="C116" s="1" t="s">
        <v>443</v>
      </c>
      <c r="D116" s="5" t="s">
        <v>444</v>
      </c>
      <c r="E116" s="5" t="s">
        <v>445</v>
      </c>
      <c r="F116" s="3" t="s">
        <v>446</v>
      </c>
    </row>
    <row r="117" spans="1:6" x14ac:dyDescent="0.3">
      <c r="A117" s="1" t="s">
        <v>447</v>
      </c>
      <c r="B117" s="1" t="s">
        <v>13</v>
      </c>
      <c r="C117" s="1" t="s">
        <v>448</v>
      </c>
      <c r="D117" s="5" t="s">
        <v>449</v>
      </c>
      <c r="E117" s="5" t="s">
        <v>450</v>
      </c>
      <c r="F117" s="3" t="s">
        <v>451</v>
      </c>
    </row>
    <row r="118" spans="1:6" x14ac:dyDescent="0.3">
      <c r="A118" s="1" t="s">
        <v>452</v>
      </c>
      <c r="B118" s="1" t="s">
        <v>19</v>
      </c>
      <c r="C118" s="1" t="s">
        <v>453</v>
      </c>
      <c r="D118" s="5" t="s">
        <v>21</v>
      </c>
      <c r="E118" s="5" t="s">
        <v>22</v>
      </c>
      <c r="F118" s="3" t="s">
        <v>23</v>
      </c>
    </row>
    <row r="119" spans="1:6" x14ac:dyDescent="0.3">
      <c r="A119" s="1" t="s">
        <v>454</v>
      </c>
      <c r="B119" s="1" t="s">
        <v>19</v>
      </c>
      <c r="C119" s="1" t="s">
        <v>455</v>
      </c>
      <c r="D119" s="5" t="s">
        <v>43</v>
      </c>
      <c r="E119" s="5" t="s">
        <v>44</v>
      </c>
      <c r="F119" s="3" t="s">
        <v>23</v>
      </c>
    </row>
    <row r="120" spans="1:6" x14ac:dyDescent="0.3">
      <c r="A120" s="1" t="s">
        <v>456</v>
      </c>
      <c r="B120" s="1" t="s">
        <v>19</v>
      </c>
      <c r="C120" s="1" t="s">
        <v>457</v>
      </c>
      <c r="D120" s="5" t="s">
        <v>458</v>
      </c>
      <c r="E120" s="5" t="s">
        <v>97</v>
      </c>
      <c r="F120" s="3" t="s">
        <v>23</v>
      </c>
    </row>
    <row r="121" spans="1:6" x14ac:dyDescent="0.3">
      <c r="A121" s="1" t="s">
        <v>459</v>
      </c>
      <c r="B121" s="1" t="s">
        <v>19</v>
      </c>
      <c r="C121" s="1" t="s">
        <v>460</v>
      </c>
      <c r="D121" s="5" t="s">
        <v>461</v>
      </c>
      <c r="E121" s="5" t="s">
        <v>461</v>
      </c>
      <c r="F121" s="3" t="s">
        <v>23</v>
      </c>
    </row>
    <row r="122" spans="1:6" x14ac:dyDescent="0.3">
      <c r="A122" s="1" t="s">
        <v>462</v>
      </c>
      <c r="B122" s="1" t="s">
        <v>19</v>
      </c>
      <c r="C122" s="1" t="s">
        <v>463</v>
      </c>
      <c r="D122" s="5" t="s">
        <v>458</v>
      </c>
      <c r="E122" s="5" t="s">
        <v>97</v>
      </c>
      <c r="F122" s="3" t="s">
        <v>23</v>
      </c>
    </row>
    <row r="123" spans="1:6" x14ac:dyDescent="0.3">
      <c r="A123" s="1" t="s">
        <v>464</v>
      </c>
      <c r="B123" s="1" t="s">
        <v>73</v>
      </c>
      <c r="C123" s="1" t="s">
        <v>465</v>
      </c>
      <c r="D123" s="5" t="s">
        <v>78</v>
      </c>
      <c r="E123" s="5" t="s">
        <v>78</v>
      </c>
      <c r="F123" s="3" t="s">
        <v>23</v>
      </c>
    </row>
    <row r="124" spans="1:6" x14ac:dyDescent="0.3">
      <c r="A124" s="1" t="s">
        <v>466</v>
      </c>
      <c r="B124" s="1" t="s">
        <v>73</v>
      </c>
      <c r="C124" s="1" t="s">
        <v>467</v>
      </c>
      <c r="D124" s="5" t="s">
        <v>468</v>
      </c>
      <c r="E124" s="5" t="s">
        <v>468</v>
      </c>
      <c r="F124" s="3" t="s">
        <v>23</v>
      </c>
    </row>
    <row r="125" spans="1:6" x14ac:dyDescent="0.3">
      <c r="A125" s="1" t="s">
        <v>469</v>
      </c>
      <c r="B125" s="1" t="s">
        <v>19</v>
      </c>
      <c r="C125" s="1" t="s">
        <v>470</v>
      </c>
      <c r="D125" s="5" t="s">
        <v>468</v>
      </c>
      <c r="E125" s="5" t="s">
        <v>468</v>
      </c>
      <c r="F125" s="3" t="s">
        <v>23</v>
      </c>
    </row>
    <row r="126" spans="1:6" x14ac:dyDescent="0.3">
      <c r="A126" s="1" t="s">
        <v>471</v>
      </c>
      <c r="B126" s="1" t="s">
        <v>19</v>
      </c>
      <c r="C126" s="1" t="s">
        <v>472</v>
      </c>
      <c r="D126" s="5" t="s">
        <v>473</v>
      </c>
      <c r="E126" s="5" t="s">
        <v>473</v>
      </c>
      <c r="F126" s="3" t="s">
        <v>23</v>
      </c>
    </row>
    <row r="127" spans="1:6" x14ac:dyDescent="0.3">
      <c r="A127" s="1" t="s">
        <v>474</v>
      </c>
      <c r="B127" s="1" t="s">
        <v>73</v>
      </c>
      <c r="C127" s="1" t="s">
        <v>475</v>
      </c>
      <c r="D127" s="5" t="s">
        <v>476</v>
      </c>
      <c r="E127" s="5" t="s">
        <v>43</v>
      </c>
      <c r="F127" s="3" t="s">
        <v>23</v>
      </c>
    </row>
    <row r="128" spans="1:6" x14ac:dyDescent="0.3">
      <c r="A128" s="1" t="s">
        <v>477</v>
      </c>
      <c r="B128" s="1" t="s">
        <v>19</v>
      </c>
      <c r="C128" s="1" t="s">
        <v>478</v>
      </c>
      <c r="D128" s="5" t="s">
        <v>479</v>
      </c>
      <c r="E128" s="5" t="s">
        <v>21</v>
      </c>
      <c r="F128" s="3" t="s">
        <v>23</v>
      </c>
    </row>
    <row r="129" spans="1:6" x14ac:dyDescent="0.3">
      <c r="A129" s="1" t="s">
        <v>480</v>
      </c>
      <c r="B129" s="1" t="s">
        <v>19</v>
      </c>
      <c r="C129" s="1" t="s">
        <v>481</v>
      </c>
      <c r="D129" s="5" t="s">
        <v>57</v>
      </c>
      <c r="E129" s="5" t="s">
        <v>482</v>
      </c>
      <c r="F129" s="3" t="s">
        <v>23</v>
      </c>
    </row>
    <row r="130" spans="1:6" x14ac:dyDescent="0.3">
      <c r="A130" s="1" t="s">
        <v>483</v>
      </c>
      <c r="B130" s="1" t="s">
        <v>19</v>
      </c>
      <c r="C130" s="1" t="s">
        <v>484</v>
      </c>
      <c r="D130" s="5" t="s">
        <v>485</v>
      </c>
      <c r="E130" s="5" t="s">
        <v>486</v>
      </c>
      <c r="F130" s="3" t="s">
        <v>23</v>
      </c>
    </row>
    <row r="131" spans="1:6" x14ac:dyDescent="0.3">
      <c r="A131" s="1" t="s">
        <v>487</v>
      </c>
      <c r="B131" s="1" t="s">
        <v>19</v>
      </c>
      <c r="C131" s="1" t="s">
        <v>488</v>
      </c>
      <c r="D131" s="5" t="s">
        <v>40</v>
      </c>
      <c r="E131" s="5" t="s">
        <v>489</v>
      </c>
      <c r="F131" s="3" t="s">
        <v>23</v>
      </c>
    </row>
    <row r="132" spans="1:6" x14ac:dyDescent="0.3">
      <c r="A132" s="1" t="s">
        <v>490</v>
      </c>
      <c r="B132" s="1" t="s">
        <v>19</v>
      </c>
      <c r="C132" s="1" t="s">
        <v>491</v>
      </c>
      <c r="D132" s="5" t="s">
        <v>492</v>
      </c>
      <c r="E132" s="5" t="s">
        <v>476</v>
      </c>
      <c r="F132" s="3" t="s">
        <v>23</v>
      </c>
    </row>
    <row r="133" spans="1:6" x14ac:dyDescent="0.3">
      <c r="A133" s="1" t="s">
        <v>493</v>
      </c>
      <c r="B133" s="1" t="s">
        <v>358</v>
      </c>
      <c r="C133" s="1" t="s">
        <v>494</v>
      </c>
      <c r="D133" s="5" t="s">
        <v>86</v>
      </c>
      <c r="E133" s="5" t="s">
        <v>86</v>
      </c>
      <c r="F133" s="3" t="s">
        <v>23</v>
      </c>
    </row>
    <row r="134" spans="1:6" x14ac:dyDescent="0.3">
      <c r="A134" s="1" t="s">
        <v>495</v>
      </c>
      <c r="B134" s="1" t="s">
        <v>358</v>
      </c>
      <c r="C134" s="1" t="s">
        <v>496</v>
      </c>
      <c r="D134" s="5" t="s">
        <v>78</v>
      </c>
      <c r="E134" s="5" t="s">
        <v>78</v>
      </c>
      <c r="F134" s="3" t="s">
        <v>23</v>
      </c>
    </row>
    <row r="135" spans="1:6" x14ac:dyDescent="0.3">
      <c r="A135" s="1" t="s">
        <v>497</v>
      </c>
      <c r="B135" s="1" t="s">
        <v>358</v>
      </c>
      <c r="C135" s="1" t="s">
        <v>498</v>
      </c>
      <c r="D135" s="5" t="s">
        <v>499</v>
      </c>
      <c r="E135" s="5" t="s">
        <v>268</v>
      </c>
      <c r="F135" s="3" t="s">
        <v>23</v>
      </c>
    </row>
    <row r="136" spans="1:6" x14ac:dyDescent="0.3">
      <c r="A136" s="1" t="s">
        <v>500</v>
      </c>
      <c r="B136" s="1" t="s">
        <v>358</v>
      </c>
      <c r="C136" s="1" t="s">
        <v>501</v>
      </c>
      <c r="D136" s="5" t="s">
        <v>129</v>
      </c>
      <c r="E136" s="5" t="s">
        <v>129</v>
      </c>
      <c r="F136" s="3" t="s">
        <v>23</v>
      </c>
    </row>
    <row r="137" spans="1:6" x14ac:dyDescent="0.3">
      <c r="A137" s="1" t="s">
        <v>502</v>
      </c>
      <c r="B137" s="1" t="s">
        <v>19</v>
      </c>
      <c r="C137" s="1" t="s">
        <v>503</v>
      </c>
      <c r="D137" s="5" t="s">
        <v>147</v>
      </c>
      <c r="E137" s="5" t="s">
        <v>423</v>
      </c>
      <c r="F137" s="3" t="s">
        <v>23</v>
      </c>
    </row>
    <row r="138" spans="1:6" x14ac:dyDescent="0.3">
      <c r="A138" s="1" t="s">
        <v>504</v>
      </c>
      <c r="B138" s="1" t="s">
        <v>19</v>
      </c>
      <c r="C138" s="1" t="s">
        <v>505</v>
      </c>
      <c r="D138" s="5" t="s">
        <v>66</v>
      </c>
      <c r="E138" s="5" t="s">
        <v>67</v>
      </c>
      <c r="F138" s="3" t="s">
        <v>23</v>
      </c>
    </row>
    <row r="139" spans="1:6" x14ac:dyDescent="0.3">
      <c r="A139" s="1" t="s">
        <v>506</v>
      </c>
      <c r="B139" s="1" t="s">
        <v>358</v>
      </c>
      <c r="C139" s="1" t="s">
        <v>507</v>
      </c>
      <c r="D139" s="5" t="s">
        <v>43</v>
      </c>
      <c r="E139" s="5" t="s">
        <v>44</v>
      </c>
      <c r="F139" s="3" t="s">
        <v>23</v>
      </c>
    </row>
    <row r="140" spans="1:6" x14ac:dyDescent="0.3">
      <c r="A140" s="1" t="s">
        <v>508</v>
      </c>
      <c r="B140" s="1" t="s">
        <v>358</v>
      </c>
      <c r="C140" s="1" t="s">
        <v>509</v>
      </c>
      <c r="D140" s="5" t="s">
        <v>78</v>
      </c>
      <c r="E140" s="5" t="s">
        <v>78</v>
      </c>
      <c r="F140" s="3" t="s">
        <v>23</v>
      </c>
    </row>
    <row r="141" spans="1:6" x14ac:dyDescent="0.3">
      <c r="A141" s="1" t="s">
        <v>510</v>
      </c>
      <c r="B141" s="1" t="s">
        <v>19</v>
      </c>
      <c r="C141" s="1" t="s">
        <v>511</v>
      </c>
      <c r="D141" s="5" t="s">
        <v>512</v>
      </c>
      <c r="E141" s="5" t="s">
        <v>513</v>
      </c>
      <c r="F141" s="3" t="s">
        <v>23</v>
      </c>
    </row>
    <row r="142" spans="1:6" x14ac:dyDescent="0.3">
      <c r="A142" s="1" t="s">
        <v>514</v>
      </c>
      <c r="B142" s="1" t="s">
        <v>19</v>
      </c>
      <c r="C142" s="1" t="s">
        <v>515</v>
      </c>
      <c r="D142" s="5" t="s">
        <v>516</v>
      </c>
      <c r="E142" s="5" t="s">
        <v>163</v>
      </c>
      <c r="F142" s="3" t="s">
        <v>23</v>
      </c>
    </row>
    <row r="143" spans="1:6" x14ac:dyDescent="0.3">
      <c r="A143" s="1" t="s">
        <v>517</v>
      </c>
      <c r="B143" s="1" t="s">
        <v>19</v>
      </c>
      <c r="C143" s="1" t="s">
        <v>518</v>
      </c>
      <c r="D143" s="5" t="s">
        <v>257</v>
      </c>
      <c r="E143" s="5" t="s">
        <v>519</v>
      </c>
      <c r="F143" s="3" t="s">
        <v>23</v>
      </c>
    </row>
    <row r="144" spans="1:6" x14ac:dyDescent="0.3">
      <c r="A144" s="1" t="s">
        <v>520</v>
      </c>
      <c r="B144" s="1" t="s">
        <v>19</v>
      </c>
      <c r="C144" s="1" t="s">
        <v>521</v>
      </c>
      <c r="D144" s="5" t="s">
        <v>522</v>
      </c>
      <c r="E144" s="5" t="s">
        <v>523</v>
      </c>
      <c r="F144" s="3" t="s">
        <v>23</v>
      </c>
    </row>
    <row r="145" spans="1:6" x14ac:dyDescent="0.3">
      <c r="A145" s="1" t="s">
        <v>524</v>
      </c>
      <c r="B145" s="1" t="s">
        <v>13</v>
      </c>
      <c r="C145" s="1" t="s">
        <v>525</v>
      </c>
      <c r="D145" s="5" t="s">
        <v>526</v>
      </c>
      <c r="E145" s="5" t="s">
        <v>344</v>
      </c>
      <c r="F145" s="3" t="s">
        <v>527</v>
      </c>
    </row>
    <row r="146" spans="1:6" x14ac:dyDescent="0.3">
      <c r="A146" s="1" t="s">
        <v>528</v>
      </c>
      <c r="B146" s="1" t="s">
        <v>19</v>
      </c>
      <c r="C146" s="1" t="s">
        <v>529</v>
      </c>
      <c r="D146" s="5" t="s">
        <v>489</v>
      </c>
      <c r="E146" s="5" t="s">
        <v>479</v>
      </c>
      <c r="F146" s="3" t="s">
        <v>23</v>
      </c>
    </row>
    <row r="147" spans="1:6" x14ac:dyDescent="0.3">
      <c r="A147" s="1" t="s">
        <v>530</v>
      </c>
      <c r="B147" s="1" t="s">
        <v>19</v>
      </c>
      <c r="C147" s="1" t="s">
        <v>531</v>
      </c>
      <c r="D147" s="5" t="s">
        <v>419</v>
      </c>
      <c r="E147" s="5" t="s">
        <v>420</v>
      </c>
      <c r="F147" s="3" t="s">
        <v>23</v>
      </c>
    </row>
    <row r="148" spans="1:6" x14ac:dyDescent="0.3">
      <c r="A148" s="1" t="s">
        <v>532</v>
      </c>
      <c r="B148" s="1" t="s">
        <v>19</v>
      </c>
      <c r="C148" s="1" t="s">
        <v>533</v>
      </c>
      <c r="D148" s="5" t="s">
        <v>424</v>
      </c>
      <c r="E148" s="5" t="s">
        <v>534</v>
      </c>
      <c r="F148" s="3" t="s">
        <v>23</v>
      </c>
    </row>
    <row r="149" spans="1:6" x14ac:dyDescent="0.3">
      <c r="A149" s="1" t="s">
        <v>535</v>
      </c>
      <c r="B149" s="1" t="s">
        <v>19</v>
      </c>
      <c r="C149" s="1" t="s">
        <v>536</v>
      </c>
      <c r="D149" s="5" t="s">
        <v>537</v>
      </c>
      <c r="E149" s="5" t="s">
        <v>538</v>
      </c>
      <c r="F149" s="3" t="s">
        <v>23</v>
      </c>
    </row>
    <row r="150" spans="1:6" x14ac:dyDescent="0.3">
      <c r="A150" s="1" t="s">
        <v>539</v>
      </c>
      <c r="B150" s="1" t="s">
        <v>19</v>
      </c>
      <c r="C150" s="1" t="s">
        <v>540</v>
      </c>
      <c r="D150" s="5" t="s">
        <v>541</v>
      </c>
      <c r="E150" s="5" t="s">
        <v>485</v>
      </c>
      <c r="F150" s="3" t="s">
        <v>23</v>
      </c>
    </row>
    <row r="151" spans="1:6" x14ac:dyDescent="0.3">
      <c r="A151" s="1" t="s">
        <v>542</v>
      </c>
      <c r="B151" s="1" t="s">
        <v>19</v>
      </c>
      <c r="C151" s="1" t="s">
        <v>543</v>
      </c>
      <c r="D151" s="5" t="s">
        <v>473</v>
      </c>
      <c r="E151" s="5" t="s">
        <v>473</v>
      </c>
      <c r="F151" s="3" t="s">
        <v>23</v>
      </c>
    </row>
    <row r="152" spans="1:6" x14ac:dyDescent="0.3">
      <c r="A152" s="1" t="s">
        <v>544</v>
      </c>
      <c r="B152" s="1" t="s">
        <v>19</v>
      </c>
      <c r="C152" s="1" t="s">
        <v>545</v>
      </c>
      <c r="D152" s="5" t="s">
        <v>419</v>
      </c>
      <c r="E152" s="5" t="s">
        <v>420</v>
      </c>
      <c r="F152" s="3" t="s">
        <v>23</v>
      </c>
    </row>
    <row r="153" spans="1:6" x14ac:dyDescent="0.3">
      <c r="A153" s="1" t="s">
        <v>546</v>
      </c>
      <c r="B153" s="1" t="s">
        <v>13</v>
      </c>
      <c r="C153" s="1" t="s">
        <v>547</v>
      </c>
      <c r="D153" s="5" t="s">
        <v>321</v>
      </c>
      <c r="E153" s="5" t="s">
        <v>186</v>
      </c>
      <c r="F153" s="3" t="s">
        <v>548</v>
      </c>
    </row>
    <row r="154" spans="1:6" x14ac:dyDescent="0.3">
      <c r="A154" s="1" t="s">
        <v>549</v>
      </c>
      <c r="B154" s="1" t="s">
        <v>13</v>
      </c>
      <c r="C154" s="1" t="s">
        <v>550</v>
      </c>
      <c r="D154" s="5" t="s">
        <v>171</v>
      </c>
      <c r="E154" s="5" t="s">
        <v>172</v>
      </c>
      <c r="F154" s="3" t="s">
        <v>551</v>
      </c>
    </row>
    <row r="155" spans="1:6" x14ac:dyDescent="0.3">
      <c r="A155" s="1" t="s">
        <v>552</v>
      </c>
      <c r="B155" s="1" t="s">
        <v>13</v>
      </c>
      <c r="C155" s="1" t="s">
        <v>553</v>
      </c>
      <c r="D155" s="5" t="s">
        <v>554</v>
      </c>
      <c r="E155" s="5" t="s">
        <v>201</v>
      </c>
      <c r="F155" s="3" t="s">
        <v>555</v>
      </c>
    </row>
    <row r="156" spans="1:6" x14ac:dyDescent="0.3">
      <c r="A156" s="1" t="s">
        <v>556</v>
      </c>
      <c r="B156" s="1" t="s">
        <v>13</v>
      </c>
      <c r="C156" s="1" t="s">
        <v>557</v>
      </c>
      <c r="D156" s="5" t="s">
        <v>558</v>
      </c>
      <c r="E156" s="5" t="s">
        <v>559</v>
      </c>
      <c r="F156" s="3" t="s">
        <v>560</v>
      </c>
    </row>
    <row r="157" spans="1:6" x14ac:dyDescent="0.3">
      <c r="A157" s="1" t="s">
        <v>561</v>
      </c>
      <c r="B157" s="1" t="s">
        <v>13</v>
      </c>
      <c r="C157" s="1" t="s">
        <v>562</v>
      </c>
      <c r="D157" s="5" t="s">
        <v>563</v>
      </c>
      <c r="E157" s="5" t="s">
        <v>564</v>
      </c>
      <c r="F157" s="3" t="s">
        <v>565</v>
      </c>
    </row>
    <row r="158" spans="1:6" x14ac:dyDescent="0.3">
      <c r="A158" s="1" t="s">
        <v>566</v>
      </c>
      <c r="B158" s="1" t="s">
        <v>13</v>
      </c>
      <c r="C158" s="1" t="s">
        <v>567</v>
      </c>
      <c r="D158" s="5" t="s">
        <v>568</v>
      </c>
      <c r="E158" s="5" t="s">
        <v>569</v>
      </c>
      <c r="F158" s="3" t="s">
        <v>570</v>
      </c>
    </row>
    <row r="159" spans="1:6" x14ac:dyDescent="0.3">
      <c r="A159" s="1" t="s">
        <v>571</v>
      </c>
      <c r="B159" s="1" t="s">
        <v>13</v>
      </c>
      <c r="C159" s="1" t="s">
        <v>572</v>
      </c>
      <c r="D159" s="5" t="s">
        <v>573</v>
      </c>
      <c r="E159" s="5" t="s">
        <v>573</v>
      </c>
      <c r="F159" s="3" t="s">
        <v>53</v>
      </c>
    </row>
    <row r="160" spans="1:6" x14ac:dyDescent="0.3">
      <c r="A160" s="1" t="s">
        <v>574</v>
      </c>
      <c r="B160" s="1" t="s">
        <v>13</v>
      </c>
      <c r="C160" s="1" t="s">
        <v>575</v>
      </c>
      <c r="D160" s="5" t="s">
        <v>576</v>
      </c>
      <c r="E160" s="5" t="s">
        <v>576</v>
      </c>
      <c r="F160" s="3" t="s">
        <v>541</v>
      </c>
    </row>
    <row r="161" spans="1:6" x14ac:dyDescent="0.3">
      <c r="A161" s="1" t="s">
        <v>577</v>
      </c>
      <c r="B161" s="1" t="s">
        <v>13</v>
      </c>
      <c r="C161" s="1" t="s">
        <v>578</v>
      </c>
      <c r="D161" s="5" t="s">
        <v>579</v>
      </c>
      <c r="E161" s="5" t="s">
        <v>579</v>
      </c>
      <c r="F161" s="3" t="s">
        <v>580</v>
      </c>
    </row>
    <row r="162" spans="1:6" x14ac:dyDescent="0.3">
      <c r="A162" s="1" t="s">
        <v>581</v>
      </c>
      <c r="B162" s="1" t="s">
        <v>19</v>
      </c>
      <c r="C162" s="1" t="s">
        <v>582</v>
      </c>
      <c r="D162" s="5" t="s">
        <v>33</v>
      </c>
      <c r="E162" s="5" t="s">
        <v>123</v>
      </c>
      <c r="F162" s="3" t="s">
        <v>23</v>
      </c>
    </row>
    <row r="163" spans="1:6" x14ac:dyDescent="0.3">
      <c r="A163" s="1" t="s">
        <v>583</v>
      </c>
      <c r="B163" s="1" t="s">
        <v>19</v>
      </c>
      <c r="C163" s="1" t="s">
        <v>584</v>
      </c>
      <c r="D163" s="5" t="s">
        <v>534</v>
      </c>
      <c r="E163" s="5" t="s">
        <v>585</v>
      </c>
      <c r="F163" s="3" t="s">
        <v>23</v>
      </c>
    </row>
    <row r="164" spans="1:6" x14ac:dyDescent="0.3">
      <c r="A164" s="1" t="s">
        <v>586</v>
      </c>
      <c r="B164" s="1" t="s">
        <v>19</v>
      </c>
      <c r="C164" s="1" t="s">
        <v>587</v>
      </c>
      <c r="D164" s="5" t="s">
        <v>90</v>
      </c>
      <c r="E164" s="5" t="s">
        <v>588</v>
      </c>
      <c r="F164" s="3" t="s">
        <v>23</v>
      </c>
    </row>
    <row r="165" spans="1:6" x14ac:dyDescent="0.3">
      <c r="A165" s="1" t="s">
        <v>589</v>
      </c>
      <c r="B165" s="1" t="s">
        <v>19</v>
      </c>
      <c r="C165" s="1" t="s">
        <v>590</v>
      </c>
      <c r="D165" s="5" t="s">
        <v>591</v>
      </c>
      <c r="E165" s="5" t="s">
        <v>592</v>
      </c>
      <c r="F165" s="3" t="s">
        <v>23</v>
      </c>
    </row>
    <row r="166" spans="1:6" x14ac:dyDescent="0.3">
      <c r="A166" s="1" t="s">
        <v>593</v>
      </c>
      <c r="B166" s="1" t="s">
        <v>19</v>
      </c>
      <c r="C166" s="1" t="s">
        <v>594</v>
      </c>
      <c r="D166" s="5" t="s">
        <v>595</v>
      </c>
      <c r="E166" s="5" t="s">
        <v>596</v>
      </c>
      <c r="F166" s="3" t="s">
        <v>23</v>
      </c>
    </row>
    <row r="167" spans="1:6" x14ac:dyDescent="0.3">
      <c r="A167" s="1" t="s">
        <v>597</v>
      </c>
      <c r="B167" s="1" t="s">
        <v>19</v>
      </c>
      <c r="C167" s="1" t="s">
        <v>598</v>
      </c>
      <c r="D167" s="5" t="s">
        <v>512</v>
      </c>
      <c r="E167" s="5" t="s">
        <v>513</v>
      </c>
      <c r="F167" s="3" t="s">
        <v>23</v>
      </c>
    </row>
    <row r="168" spans="1:6" x14ac:dyDescent="0.3">
      <c r="A168" s="1" t="s">
        <v>599</v>
      </c>
      <c r="B168" s="1" t="s">
        <v>19</v>
      </c>
      <c r="C168" s="1" t="s">
        <v>600</v>
      </c>
      <c r="D168" s="5" t="s">
        <v>71</v>
      </c>
      <c r="E168" s="5" t="s">
        <v>601</v>
      </c>
      <c r="F168" s="3" t="s">
        <v>23</v>
      </c>
    </row>
    <row r="169" spans="1:6" x14ac:dyDescent="0.3">
      <c r="A169" s="1" t="s">
        <v>602</v>
      </c>
      <c r="B169" s="1" t="s">
        <v>19</v>
      </c>
      <c r="C169" s="1" t="s">
        <v>603</v>
      </c>
      <c r="D169" s="5" t="s">
        <v>66</v>
      </c>
      <c r="E169" s="5" t="s">
        <v>67</v>
      </c>
      <c r="F169" s="3" t="s">
        <v>23</v>
      </c>
    </row>
    <row r="170" spans="1:6" x14ac:dyDescent="0.3">
      <c r="A170" s="1" t="s">
        <v>604</v>
      </c>
      <c r="B170" s="1" t="s">
        <v>19</v>
      </c>
      <c r="C170" s="1" t="s">
        <v>605</v>
      </c>
      <c r="D170" s="5" t="s">
        <v>606</v>
      </c>
      <c r="E170" s="5" t="s">
        <v>607</v>
      </c>
      <c r="F170" s="3" t="s">
        <v>23</v>
      </c>
    </row>
    <row r="171" spans="1:6" x14ac:dyDescent="0.3">
      <c r="A171" s="1" t="s">
        <v>608</v>
      </c>
      <c r="B171" s="1" t="s">
        <v>19</v>
      </c>
      <c r="C171" s="1" t="s">
        <v>609</v>
      </c>
      <c r="D171" s="5" t="s">
        <v>610</v>
      </c>
      <c r="E171" s="5" t="s">
        <v>611</v>
      </c>
      <c r="F171" s="3" t="s">
        <v>23</v>
      </c>
    </row>
    <row r="172" spans="1:6" x14ac:dyDescent="0.3">
      <c r="A172" s="1" t="s">
        <v>612</v>
      </c>
      <c r="B172" s="1" t="s">
        <v>19</v>
      </c>
      <c r="C172" s="1" t="s">
        <v>613</v>
      </c>
      <c r="D172" s="5" t="s">
        <v>420</v>
      </c>
      <c r="E172" s="5" t="s">
        <v>56</v>
      </c>
      <c r="F172" s="3" t="s">
        <v>23</v>
      </c>
    </row>
    <row r="173" spans="1:6" x14ac:dyDescent="0.3">
      <c r="A173" s="1" t="s">
        <v>614</v>
      </c>
      <c r="B173" s="1" t="s">
        <v>19</v>
      </c>
      <c r="C173" s="1" t="s">
        <v>615</v>
      </c>
      <c r="D173" s="5" t="s">
        <v>486</v>
      </c>
      <c r="E173" s="5" t="s">
        <v>616</v>
      </c>
      <c r="F173" s="3" t="s">
        <v>23</v>
      </c>
    </row>
    <row r="174" spans="1:6" x14ac:dyDescent="0.3">
      <c r="A174" s="1" t="s">
        <v>617</v>
      </c>
      <c r="B174" s="1" t="s">
        <v>19</v>
      </c>
      <c r="C174" s="1" t="s">
        <v>618</v>
      </c>
      <c r="D174" s="5" t="s">
        <v>619</v>
      </c>
      <c r="E174" s="5" t="s">
        <v>620</v>
      </c>
      <c r="F174" s="3" t="s">
        <v>23</v>
      </c>
    </row>
    <row r="175" spans="1:6" x14ac:dyDescent="0.3">
      <c r="A175" s="1" t="s">
        <v>621</v>
      </c>
      <c r="B175" s="1" t="s">
        <v>19</v>
      </c>
      <c r="C175" s="1" t="s">
        <v>622</v>
      </c>
      <c r="D175" s="5" t="s">
        <v>458</v>
      </c>
      <c r="E175" s="5" t="s">
        <v>97</v>
      </c>
      <c r="F175" s="3" t="s">
        <v>23</v>
      </c>
    </row>
    <row r="176" spans="1:6" x14ac:dyDescent="0.3">
      <c r="A176" s="1" t="s">
        <v>623</v>
      </c>
      <c r="B176" s="1" t="s">
        <v>19</v>
      </c>
      <c r="C176" s="1" t="s">
        <v>624</v>
      </c>
      <c r="D176" s="5" t="s">
        <v>44</v>
      </c>
      <c r="E176" s="5" t="s">
        <v>111</v>
      </c>
      <c r="F176" s="3" t="s">
        <v>23</v>
      </c>
    </row>
    <row r="177" spans="1:6" x14ac:dyDescent="0.3">
      <c r="A177" s="1" t="s">
        <v>625</v>
      </c>
      <c r="B177" s="1" t="s">
        <v>19</v>
      </c>
      <c r="C177" s="1" t="s">
        <v>626</v>
      </c>
      <c r="D177" s="5" t="s">
        <v>423</v>
      </c>
      <c r="E177" s="5" t="s">
        <v>424</v>
      </c>
      <c r="F177" s="3" t="s">
        <v>23</v>
      </c>
    </row>
    <row r="178" spans="1:6" x14ac:dyDescent="0.3">
      <c r="A178" s="1" t="s">
        <v>627</v>
      </c>
      <c r="B178" s="1" t="s">
        <v>19</v>
      </c>
      <c r="C178" s="1" t="s">
        <v>628</v>
      </c>
      <c r="D178" s="5" t="s">
        <v>534</v>
      </c>
      <c r="E178" s="5" t="s">
        <v>585</v>
      </c>
      <c r="F178" s="3" t="s">
        <v>23</v>
      </c>
    </row>
    <row r="179" spans="1:6" x14ac:dyDescent="0.3">
      <c r="A179" s="1" t="s">
        <v>629</v>
      </c>
      <c r="B179" s="1" t="s">
        <v>19</v>
      </c>
      <c r="C179" s="1" t="s">
        <v>630</v>
      </c>
      <c r="D179" s="5" t="s">
        <v>592</v>
      </c>
      <c r="E179" s="5" t="s">
        <v>631</v>
      </c>
      <c r="F179" s="3" t="s">
        <v>23</v>
      </c>
    </row>
    <row r="180" spans="1:6" x14ac:dyDescent="0.3">
      <c r="A180" s="1" t="s">
        <v>632</v>
      </c>
      <c r="B180" s="1" t="s">
        <v>19</v>
      </c>
      <c r="C180" s="1" t="s">
        <v>633</v>
      </c>
      <c r="D180" s="5" t="s">
        <v>93</v>
      </c>
      <c r="E180" s="5" t="s">
        <v>94</v>
      </c>
      <c r="F180" s="3" t="s">
        <v>23</v>
      </c>
    </row>
    <row r="181" spans="1:6" x14ac:dyDescent="0.3">
      <c r="A181" s="1" t="s">
        <v>634</v>
      </c>
      <c r="B181" s="1" t="s">
        <v>19</v>
      </c>
      <c r="C181" s="1" t="s">
        <v>635</v>
      </c>
      <c r="D181" s="5" t="s">
        <v>636</v>
      </c>
      <c r="E181" s="5" t="s">
        <v>537</v>
      </c>
      <c r="F181" s="3" t="s">
        <v>23</v>
      </c>
    </row>
    <row r="182" spans="1:6" x14ac:dyDescent="0.3">
      <c r="A182" s="1" t="s">
        <v>637</v>
      </c>
      <c r="B182" s="1" t="s">
        <v>19</v>
      </c>
      <c r="C182" s="1" t="s">
        <v>638</v>
      </c>
      <c r="D182" s="5" t="s">
        <v>97</v>
      </c>
      <c r="E182" s="5" t="s">
        <v>98</v>
      </c>
      <c r="F182" s="3" t="s">
        <v>23</v>
      </c>
    </row>
    <row r="183" spans="1:6" x14ac:dyDescent="0.3">
      <c r="A183" s="1" t="s">
        <v>639</v>
      </c>
      <c r="B183" s="1" t="s">
        <v>19</v>
      </c>
      <c r="C183" s="1" t="s">
        <v>640</v>
      </c>
      <c r="D183" s="5" t="s">
        <v>641</v>
      </c>
      <c r="E183" s="5" t="s">
        <v>642</v>
      </c>
      <c r="F183" s="3" t="s">
        <v>23</v>
      </c>
    </row>
    <row r="184" spans="1:6" x14ac:dyDescent="0.3">
      <c r="A184" s="1" t="s">
        <v>643</v>
      </c>
      <c r="B184" s="1" t="s">
        <v>19</v>
      </c>
      <c r="C184" s="1" t="s">
        <v>644</v>
      </c>
      <c r="D184" s="5" t="s">
        <v>645</v>
      </c>
      <c r="E184" s="5" t="s">
        <v>646</v>
      </c>
      <c r="F184" s="3" t="s">
        <v>23</v>
      </c>
    </row>
    <row r="185" spans="1:6" x14ac:dyDescent="0.3">
      <c r="A185" t="s">
        <v>1049</v>
      </c>
      <c r="B185" t="s">
        <v>19</v>
      </c>
      <c r="C185" t="s">
        <v>1054</v>
      </c>
      <c r="D185" s="2" t="s">
        <v>1059</v>
      </c>
      <c r="E185" s="2" t="s">
        <v>1060</v>
      </c>
      <c r="F185" s="2" t="s">
        <v>23</v>
      </c>
    </row>
    <row r="186" spans="1:6" x14ac:dyDescent="0.3">
      <c r="A186" t="s">
        <v>1050</v>
      </c>
      <c r="B186" t="s">
        <v>19</v>
      </c>
      <c r="C186" t="s">
        <v>1055</v>
      </c>
      <c r="D186" s="2" t="s">
        <v>1061</v>
      </c>
      <c r="E186" s="2" t="s">
        <v>1062</v>
      </c>
      <c r="F186" s="2" t="s">
        <v>23</v>
      </c>
    </row>
    <row r="187" spans="1:6" x14ac:dyDescent="0.3">
      <c r="A187" t="s">
        <v>1051</v>
      </c>
      <c r="B187" t="s">
        <v>19</v>
      </c>
      <c r="C187" t="s">
        <v>1056</v>
      </c>
      <c r="D187" s="2" t="s">
        <v>1063</v>
      </c>
      <c r="E187" s="2" t="s">
        <v>1061</v>
      </c>
      <c r="F187" s="2" t="s">
        <v>23</v>
      </c>
    </row>
    <row r="188" spans="1:6" x14ac:dyDescent="0.3">
      <c r="A188" t="s">
        <v>1052</v>
      </c>
      <c r="B188" t="s">
        <v>19</v>
      </c>
      <c r="C188" t="s">
        <v>1057</v>
      </c>
      <c r="D188" s="2" t="s">
        <v>1061</v>
      </c>
      <c r="E188" s="2" t="s">
        <v>1062</v>
      </c>
      <c r="F188" s="2" t="s">
        <v>23</v>
      </c>
    </row>
    <row r="189" spans="1:6" x14ac:dyDescent="0.3">
      <c r="A189" t="s">
        <v>1053</v>
      </c>
      <c r="B189" t="s">
        <v>19</v>
      </c>
      <c r="C189" t="s">
        <v>1058</v>
      </c>
      <c r="D189" s="2" t="s">
        <v>1064</v>
      </c>
      <c r="E189" s="2" t="s">
        <v>1065</v>
      </c>
      <c r="F189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AEA9-8850-4090-9D5D-0FE1DC6C757A}">
  <dimension ref="A1:H233"/>
  <sheetViews>
    <sheetView workbookViewId="0">
      <selection activeCell="B26" sqref="B26"/>
    </sheetView>
  </sheetViews>
  <sheetFormatPr baseColWidth="10" defaultRowHeight="14.4" x14ac:dyDescent="0.3"/>
  <cols>
    <col min="1" max="1" width="10.77734375" bestFit="1" customWidth="1"/>
    <col min="2" max="2" width="53.109375" bestFit="1" customWidth="1"/>
    <col min="3" max="3" width="22.109375" bestFit="1" customWidth="1"/>
    <col min="4" max="4" width="10.109375" bestFit="1" customWidth="1"/>
    <col min="5" max="5" width="10.6640625" bestFit="1" customWidth="1"/>
    <col min="6" max="6" width="12.88671875" bestFit="1" customWidth="1"/>
    <col min="7" max="7" width="10" bestFit="1" customWidth="1"/>
    <col min="8" max="8" width="12.21875" bestFit="1" customWidth="1"/>
  </cols>
  <sheetData>
    <row r="1" spans="1:8" x14ac:dyDescent="0.3">
      <c r="A1" s="6" t="s">
        <v>647</v>
      </c>
      <c r="B1" s="6" t="s">
        <v>648</v>
      </c>
      <c r="C1" s="6" t="s">
        <v>649</v>
      </c>
      <c r="D1" s="6" t="s">
        <v>650</v>
      </c>
      <c r="E1" s="6" t="s">
        <v>651</v>
      </c>
      <c r="F1" s="6" t="s">
        <v>652</v>
      </c>
      <c r="G1" s="6" t="s">
        <v>653</v>
      </c>
      <c r="H1" s="6" t="s">
        <v>654</v>
      </c>
    </row>
    <row r="2" spans="1:8" x14ac:dyDescent="0.3">
      <c r="A2" s="7" t="s">
        <v>655</v>
      </c>
      <c r="B2" t="s">
        <v>656</v>
      </c>
      <c r="C2" t="s">
        <v>657</v>
      </c>
      <c r="D2" s="8">
        <v>985000</v>
      </c>
      <c r="E2" s="9"/>
      <c r="F2" s="7">
        <v>268</v>
      </c>
      <c r="G2" t="s">
        <v>658</v>
      </c>
      <c r="H2" t="s">
        <v>659</v>
      </c>
    </row>
    <row r="3" spans="1:8" x14ac:dyDescent="0.3">
      <c r="A3" s="7" t="s">
        <v>655</v>
      </c>
      <c r="B3" t="s">
        <v>660</v>
      </c>
      <c r="C3" t="s">
        <v>661</v>
      </c>
      <c r="D3" s="8">
        <v>5292000</v>
      </c>
      <c r="E3" s="9"/>
      <c r="F3" s="7">
        <v>269</v>
      </c>
      <c r="G3" t="s">
        <v>658</v>
      </c>
      <c r="H3" t="s">
        <v>659</v>
      </c>
    </row>
    <row r="4" spans="1:8" x14ac:dyDescent="0.3">
      <c r="A4" s="7" t="s">
        <v>655</v>
      </c>
      <c r="B4" t="s">
        <v>662</v>
      </c>
      <c r="C4" t="s">
        <v>663</v>
      </c>
      <c r="D4" s="8">
        <v>2180000</v>
      </c>
      <c r="E4" s="9"/>
      <c r="F4" s="7">
        <v>270</v>
      </c>
      <c r="G4" t="s">
        <v>658</v>
      </c>
      <c r="H4" t="s">
        <v>659</v>
      </c>
    </row>
    <row r="5" spans="1:8" x14ac:dyDescent="0.3">
      <c r="A5" s="7" t="s">
        <v>655</v>
      </c>
      <c r="B5" t="s">
        <v>664</v>
      </c>
      <c r="C5" t="s">
        <v>665</v>
      </c>
      <c r="D5" s="8"/>
      <c r="E5" s="9">
        <v>1808</v>
      </c>
      <c r="F5" s="7">
        <v>271</v>
      </c>
      <c r="G5" t="s">
        <v>658</v>
      </c>
      <c r="H5" t="s">
        <v>659</v>
      </c>
    </row>
    <row r="6" spans="1:8" x14ac:dyDescent="0.3">
      <c r="A6" s="7" t="s">
        <v>666</v>
      </c>
      <c r="B6" t="s">
        <v>667</v>
      </c>
      <c r="C6" t="s">
        <v>668</v>
      </c>
      <c r="D6" s="8"/>
      <c r="E6" s="9">
        <v>6850.19</v>
      </c>
      <c r="F6" s="7">
        <v>272</v>
      </c>
      <c r="G6" t="s">
        <v>669</v>
      </c>
    </row>
    <row r="7" spans="1:8" x14ac:dyDescent="0.3">
      <c r="A7" s="7" t="s">
        <v>670</v>
      </c>
      <c r="B7" t="s">
        <v>671</v>
      </c>
      <c r="C7" t="s">
        <v>672</v>
      </c>
      <c r="D7" s="8">
        <v>6051000</v>
      </c>
      <c r="E7" s="9"/>
      <c r="F7" s="7">
        <v>273</v>
      </c>
      <c r="G7" t="s">
        <v>658</v>
      </c>
      <c r="H7" t="s">
        <v>659</v>
      </c>
    </row>
    <row r="8" spans="1:8" x14ac:dyDescent="0.3">
      <c r="A8" s="7" t="s">
        <v>670</v>
      </c>
      <c r="B8" t="s">
        <v>673</v>
      </c>
      <c r="C8" t="s">
        <v>674</v>
      </c>
      <c r="D8" s="8">
        <v>985000</v>
      </c>
      <c r="E8" s="9"/>
      <c r="F8" s="7">
        <v>274</v>
      </c>
      <c r="G8" t="s">
        <v>658</v>
      </c>
      <c r="H8" t="s">
        <v>659</v>
      </c>
    </row>
    <row r="9" spans="1:8" x14ac:dyDescent="0.3">
      <c r="A9" s="7" t="s">
        <v>670</v>
      </c>
      <c r="B9" t="s">
        <v>675</v>
      </c>
      <c r="C9" t="s">
        <v>661</v>
      </c>
      <c r="D9" s="8">
        <v>12348000</v>
      </c>
      <c r="E9" s="9"/>
      <c r="F9" s="7">
        <v>275</v>
      </c>
      <c r="G9" t="s">
        <v>658</v>
      </c>
      <c r="H9" t="s">
        <v>659</v>
      </c>
    </row>
    <row r="10" spans="1:8" x14ac:dyDescent="0.3">
      <c r="A10" s="7" t="s">
        <v>676</v>
      </c>
      <c r="B10" t="s">
        <v>677</v>
      </c>
      <c r="C10" t="s">
        <v>678</v>
      </c>
      <c r="D10" s="8">
        <v>550000</v>
      </c>
      <c r="E10" s="9"/>
      <c r="F10" s="7">
        <v>276</v>
      </c>
      <c r="G10" t="s">
        <v>679</v>
      </c>
      <c r="H10" t="s">
        <v>680</v>
      </c>
    </row>
    <row r="11" spans="1:8" x14ac:dyDescent="0.3">
      <c r="A11" s="7" t="s">
        <v>676</v>
      </c>
      <c r="B11" t="s">
        <v>681</v>
      </c>
      <c r="C11" t="s">
        <v>682</v>
      </c>
      <c r="D11" s="8">
        <v>57590000</v>
      </c>
      <c r="E11" s="9"/>
      <c r="F11" s="7">
        <v>277</v>
      </c>
      <c r="G11" t="s">
        <v>679</v>
      </c>
      <c r="H11" t="s">
        <v>683</v>
      </c>
    </row>
    <row r="12" spans="1:8" x14ac:dyDescent="0.3">
      <c r="A12" s="10" t="s">
        <v>684</v>
      </c>
      <c r="B12" s="11" t="s">
        <v>685</v>
      </c>
      <c r="C12" s="11" t="s">
        <v>685</v>
      </c>
      <c r="D12" s="12"/>
      <c r="E12" s="13"/>
      <c r="F12" s="10">
        <v>278</v>
      </c>
    </row>
    <row r="13" spans="1:8" x14ac:dyDescent="0.3">
      <c r="A13" s="10" t="s">
        <v>684</v>
      </c>
      <c r="B13" s="11" t="s">
        <v>685</v>
      </c>
      <c r="C13" s="11" t="s">
        <v>685</v>
      </c>
      <c r="D13" s="12"/>
      <c r="E13" s="13"/>
      <c r="F13" s="10">
        <v>279</v>
      </c>
    </row>
    <row r="14" spans="1:8" x14ac:dyDescent="0.3">
      <c r="A14" s="7" t="s">
        <v>676</v>
      </c>
      <c r="B14" t="s">
        <v>686</v>
      </c>
      <c r="C14" t="s">
        <v>687</v>
      </c>
      <c r="D14" s="8">
        <v>9590000</v>
      </c>
      <c r="E14" s="9"/>
      <c r="F14" s="7">
        <v>280</v>
      </c>
      <c r="G14" t="s">
        <v>679</v>
      </c>
      <c r="H14" t="s">
        <v>659</v>
      </c>
    </row>
    <row r="15" spans="1:8" x14ac:dyDescent="0.3">
      <c r="A15" s="7" t="s">
        <v>688</v>
      </c>
      <c r="B15" t="s">
        <v>689</v>
      </c>
      <c r="C15" t="s">
        <v>682</v>
      </c>
      <c r="D15" s="8">
        <v>7900000</v>
      </c>
      <c r="E15" s="9"/>
      <c r="F15" s="7">
        <v>281</v>
      </c>
      <c r="G15" t="s">
        <v>679</v>
      </c>
      <c r="H15" t="s">
        <v>683</v>
      </c>
    </row>
    <row r="16" spans="1:8" x14ac:dyDescent="0.3">
      <c r="A16" s="7" t="s">
        <v>688</v>
      </c>
      <c r="B16" t="s">
        <v>690</v>
      </c>
      <c r="C16" t="s">
        <v>665</v>
      </c>
      <c r="D16" s="8"/>
      <c r="E16" s="9">
        <v>2298</v>
      </c>
      <c r="F16" s="7">
        <v>282</v>
      </c>
      <c r="G16" t="s">
        <v>658</v>
      </c>
      <c r="H16" t="s">
        <v>659</v>
      </c>
    </row>
    <row r="17" spans="1:8" x14ac:dyDescent="0.3">
      <c r="A17" s="7" t="s">
        <v>688</v>
      </c>
      <c r="B17" t="s">
        <v>691</v>
      </c>
      <c r="C17" t="s">
        <v>692</v>
      </c>
      <c r="D17" s="8">
        <v>995000</v>
      </c>
      <c r="E17" s="9"/>
      <c r="F17" s="7">
        <v>283</v>
      </c>
      <c r="G17" t="s">
        <v>679</v>
      </c>
      <c r="H17" t="s">
        <v>659</v>
      </c>
    </row>
    <row r="18" spans="1:8" x14ac:dyDescent="0.3">
      <c r="A18" s="7" t="s">
        <v>688</v>
      </c>
      <c r="B18" t="s">
        <v>693</v>
      </c>
      <c r="C18" t="s">
        <v>668</v>
      </c>
      <c r="D18" s="8"/>
      <c r="E18" s="9">
        <v>1400</v>
      </c>
      <c r="F18" s="7">
        <v>284</v>
      </c>
    </row>
    <row r="19" spans="1:8" x14ac:dyDescent="0.3">
      <c r="A19" s="7" t="s">
        <v>688</v>
      </c>
      <c r="B19" t="s">
        <v>694</v>
      </c>
      <c r="C19" t="s">
        <v>661</v>
      </c>
      <c r="D19" s="8">
        <v>3528000</v>
      </c>
      <c r="E19" s="9"/>
      <c r="F19" s="7">
        <v>285</v>
      </c>
      <c r="G19" t="s">
        <v>658</v>
      </c>
      <c r="H19" t="s">
        <v>659</v>
      </c>
    </row>
    <row r="20" spans="1:8" x14ac:dyDescent="0.3">
      <c r="A20" s="7" t="s">
        <v>688</v>
      </c>
      <c r="B20" t="s">
        <v>695</v>
      </c>
      <c r="C20" t="s">
        <v>696</v>
      </c>
      <c r="D20" s="8">
        <v>4320000</v>
      </c>
      <c r="E20" s="9"/>
      <c r="F20" s="7">
        <v>286</v>
      </c>
      <c r="G20" t="s">
        <v>658</v>
      </c>
      <c r="H20" t="s">
        <v>659</v>
      </c>
    </row>
    <row r="21" spans="1:8" x14ac:dyDescent="0.3">
      <c r="A21" s="7" t="s">
        <v>697</v>
      </c>
      <c r="B21" t="s">
        <v>698</v>
      </c>
      <c r="C21" t="s">
        <v>699</v>
      </c>
      <c r="D21" s="8">
        <v>1990000</v>
      </c>
      <c r="E21" s="9"/>
      <c r="F21" s="7">
        <v>287</v>
      </c>
      <c r="G21" t="s">
        <v>679</v>
      </c>
      <c r="H21" t="s">
        <v>659</v>
      </c>
    </row>
    <row r="22" spans="1:8" x14ac:dyDescent="0.3">
      <c r="A22" s="7" t="s">
        <v>697</v>
      </c>
      <c r="B22" t="s">
        <v>700</v>
      </c>
      <c r="C22" t="s">
        <v>701</v>
      </c>
      <c r="D22" s="8">
        <v>3990000</v>
      </c>
      <c r="E22" s="9"/>
      <c r="F22" s="7">
        <v>288</v>
      </c>
      <c r="G22" t="s">
        <v>679</v>
      </c>
      <c r="H22" t="s">
        <v>659</v>
      </c>
    </row>
    <row r="23" spans="1:8" x14ac:dyDescent="0.3">
      <c r="A23" s="7" t="s">
        <v>697</v>
      </c>
      <c r="B23" t="s">
        <v>702</v>
      </c>
      <c r="C23" t="s">
        <v>703</v>
      </c>
      <c r="D23" s="8">
        <v>5190000</v>
      </c>
      <c r="E23" s="9"/>
      <c r="F23" s="7">
        <v>289</v>
      </c>
      <c r="G23" t="s">
        <v>679</v>
      </c>
      <c r="H23" t="s">
        <v>680</v>
      </c>
    </row>
    <row r="24" spans="1:8" x14ac:dyDescent="0.3">
      <c r="A24" s="7" t="s">
        <v>697</v>
      </c>
      <c r="B24" t="s">
        <v>691</v>
      </c>
      <c r="C24" t="s">
        <v>704</v>
      </c>
      <c r="D24" s="8">
        <v>939000</v>
      </c>
      <c r="E24" s="9"/>
      <c r="F24" s="7">
        <v>290</v>
      </c>
      <c r="G24" t="s">
        <v>658</v>
      </c>
      <c r="H24" t="s">
        <v>659</v>
      </c>
    </row>
    <row r="25" spans="1:8" x14ac:dyDescent="0.3">
      <c r="A25" s="7" t="s">
        <v>705</v>
      </c>
      <c r="B25" t="s">
        <v>706</v>
      </c>
      <c r="C25" t="s">
        <v>707</v>
      </c>
      <c r="D25" s="8">
        <v>1080000</v>
      </c>
      <c r="E25" s="9"/>
      <c r="F25" s="7">
        <v>291</v>
      </c>
      <c r="G25" t="s">
        <v>658</v>
      </c>
    </row>
    <row r="26" spans="1:8" x14ac:dyDescent="0.3">
      <c r="A26" s="7" t="s">
        <v>708</v>
      </c>
      <c r="B26" t="s">
        <v>709</v>
      </c>
      <c r="C26" t="s">
        <v>665</v>
      </c>
      <c r="D26" s="8">
        <v>1500000</v>
      </c>
      <c r="E26" s="9"/>
      <c r="F26" s="7">
        <v>292</v>
      </c>
      <c r="G26" t="s">
        <v>669</v>
      </c>
    </row>
    <row r="27" spans="1:8" x14ac:dyDescent="0.3">
      <c r="A27" s="7" t="s">
        <v>708</v>
      </c>
      <c r="B27" t="s">
        <v>710</v>
      </c>
      <c r="C27" t="s">
        <v>711</v>
      </c>
      <c r="D27" s="8">
        <v>2890000</v>
      </c>
      <c r="E27" s="9"/>
      <c r="F27" s="7">
        <v>293</v>
      </c>
      <c r="G27" t="s">
        <v>679</v>
      </c>
      <c r="H27" t="s">
        <v>659</v>
      </c>
    </row>
    <row r="28" spans="1:8" x14ac:dyDescent="0.3">
      <c r="A28" s="7" t="s">
        <v>708</v>
      </c>
      <c r="B28" t="s">
        <v>712</v>
      </c>
      <c r="C28" t="s">
        <v>713</v>
      </c>
      <c r="D28" s="8">
        <v>3160000</v>
      </c>
      <c r="E28" s="9"/>
      <c r="F28" s="7">
        <v>294</v>
      </c>
      <c r="G28" t="s">
        <v>658</v>
      </c>
      <c r="H28" t="s">
        <v>659</v>
      </c>
    </row>
    <row r="29" spans="1:8" x14ac:dyDescent="0.3">
      <c r="A29" s="7" t="s">
        <v>708</v>
      </c>
      <c r="B29" t="s">
        <v>714</v>
      </c>
      <c r="C29" t="s">
        <v>665</v>
      </c>
      <c r="D29" s="8"/>
      <c r="E29" s="9">
        <v>1356</v>
      </c>
      <c r="F29" s="7">
        <v>295</v>
      </c>
      <c r="G29" t="s">
        <v>658</v>
      </c>
      <c r="H29" t="s">
        <v>659</v>
      </c>
    </row>
    <row r="30" spans="1:8" x14ac:dyDescent="0.3">
      <c r="A30" s="7" t="s">
        <v>715</v>
      </c>
      <c r="B30" t="s">
        <v>716</v>
      </c>
      <c r="C30" t="s">
        <v>717</v>
      </c>
      <c r="D30" s="8">
        <v>5190000</v>
      </c>
      <c r="E30" s="9"/>
      <c r="F30" s="7">
        <v>296</v>
      </c>
      <c r="G30" t="s">
        <v>679</v>
      </c>
      <c r="H30" t="s">
        <v>659</v>
      </c>
    </row>
    <row r="31" spans="1:8" x14ac:dyDescent="0.3">
      <c r="A31" s="7" t="s">
        <v>715</v>
      </c>
      <c r="B31" t="s">
        <v>718</v>
      </c>
      <c r="C31" t="s">
        <v>719</v>
      </c>
      <c r="D31" s="8">
        <v>4590000</v>
      </c>
      <c r="E31" s="9"/>
      <c r="F31" s="7">
        <v>297</v>
      </c>
      <c r="G31" t="s">
        <v>679</v>
      </c>
      <c r="H31" t="s">
        <v>659</v>
      </c>
    </row>
    <row r="32" spans="1:8" x14ac:dyDescent="0.3">
      <c r="A32" s="7" t="s">
        <v>715</v>
      </c>
      <c r="B32" t="s">
        <v>720</v>
      </c>
      <c r="C32" t="s">
        <v>721</v>
      </c>
      <c r="D32" s="8">
        <v>13850000</v>
      </c>
      <c r="E32" s="9"/>
      <c r="F32" s="7">
        <v>298</v>
      </c>
      <c r="G32" t="s">
        <v>679</v>
      </c>
      <c r="H32" t="s">
        <v>680</v>
      </c>
    </row>
    <row r="33" spans="1:8" x14ac:dyDescent="0.3">
      <c r="A33" s="7" t="s">
        <v>715</v>
      </c>
      <c r="B33" t="s">
        <v>722</v>
      </c>
      <c r="C33" t="s">
        <v>723</v>
      </c>
      <c r="D33" s="8">
        <v>2370000</v>
      </c>
      <c r="E33" s="9"/>
      <c r="F33" s="7">
        <v>299</v>
      </c>
      <c r="G33" t="s">
        <v>679</v>
      </c>
      <c r="H33" t="s">
        <v>659</v>
      </c>
    </row>
    <row r="34" spans="1:8" x14ac:dyDescent="0.3">
      <c r="A34" s="7" t="s">
        <v>724</v>
      </c>
      <c r="B34" t="s">
        <v>725</v>
      </c>
      <c r="C34" t="s">
        <v>726</v>
      </c>
      <c r="D34" s="8">
        <v>3160000</v>
      </c>
      <c r="E34" s="9"/>
      <c r="F34" s="7">
        <v>301</v>
      </c>
      <c r="G34" t="s">
        <v>658</v>
      </c>
      <c r="H34" t="s">
        <v>659</v>
      </c>
    </row>
    <row r="35" spans="1:8" x14ac:dyDescent="0.3">
      <c r="A35" s="7" t="s">
        <v>727</v>
      </c>
      <c r="B35" t="s">
        <v>728</v>
      </c>
      <c r="C35" t="s">
        <v>729</v>
      </c>
      <c r="D35" s="8">
        <v>199000</v>
      </c>
      <c r="E35" s="9"/>
      <c r="F35" s="7">
        <v>302</v>
      </c>
      <c r="G35" t="s">
        <v>679</v>
      </c>
      <c r="H35" t="s">
        <v>659</v>
      </c>
    </row>
    <row r="36" spans="1:8" x14ac:dyDescent="0.3">
      <c r="A36" s="7" t="s">
        <v>727</v>
      </c>
      <c r="B36" t="s">
        <v>730</v>
      </c>
      <c r="C36" t="s">
        <v>731</v>
      </c>
      <c r="D36" s="8">
        <v>3290000</v>
      </c>
      <c r="E36" s="9"/>
      <c r="F36" s="7">
        <v>303</v>
      </c>
      <c r="G36" t="s">
        <v>679</v>
      </c>
      <c r="H36" t="s">
        <v>659</v>
      </c>
    </row>
    <row r="37" spans="1:8" x14ac:dyDescent="0.3">
      <c r="A37" s="7" t="s">
        <v>727</v>
      </c>
      <c r="B37" t="s">
        <v>732</v>
      </c>
      <c r="C37" t="s">
        <v>733</v>
      </c>
      <c r="D37" s="8">
        <v>12080000</v>
      </c>
      <c r="E37" s="9"/>
      <c r="F37" s="7">
        <v>304</v>
      </c>
      <c r="G37" t="s">
        <v>679</v>
      </c>
      <c r="H37" t="s">
        <v>680</v>
      </c>
    </row>
    <row r="38" spans="1:8" x14ac:dyDescent="0.3">
      <c r="A38" s="7" t="s">
        <v>727</v>
      </c>
      <c r="B38" t="s">
        <v>734</v>
      </c>
      <c r="C38" t="s">
        <v>735</v>
      </c>
      <c r="D38" s="8">
        <v>2370000</v>
      </c>
      <c r="E38" s="9"/>
      <c r="F38" s="7">
        <v>305</v>
      </c>
      <c r="G38" t="s">
        <v>658</v>
      </c>
      <c r="H38" t="s">
        <v>659</v>
      </c>
    </row>
    <row r="39" spans="1:8" x14ac:dyDescent="0.3">
      <c r="A39" s="7" t="s">
        <v>727</v>
      </c>
      <c r="B39" t="s">
        <v>736</v>
      </c>
      <c r="C39" t="s">
        <v>737</v>
      </c>
      <c r="D39" s="8">
        <v>199000</v>
      </c>
      <c r="E39" s="9"/>
      <c r="F39" s="7">
        <v>306</v>
      </c>
      <c r="G39" t="s">
        <v>679</v>
      </c>
      <c r="H39" t="s">
        <v>659</v>
      </c>
    </row>
    <row r="40" spans="1:8" x14ac:dyDescent="0.3">
      <c r="A40" s="7" t="s">
        <v>727</v>
      </c>
      <c r="B40" t="s">
        <v>738</v>
      </c>
      <c r="C40" t="s">
        <v>739</v>
      </c>
      <c r="D40" s="8">
        <v>2590000</v>
      </c>
      <c r="E40" s="9"/>
      <c r="F40" s="7">
        <v>307</v>
      </c>
      <c r="G40" t="s">
        <v>679</v>
      </c>
      <c r="H40" t="s">
        <v>659</v>
      </c>
    </row>
    <row r="41" spans="1:8" x14ac:dyDescent="0.3">
      <c r="A41" s="7" t="s">
        <v>727</v>
      </c>
      <c r="B41" t="s">
        <v>740</v>
      </c>
      <c r="C41" t="s">
        <v>741</v>
      </c>
      <c r="D41" s="8">
        <v>6390000</v>
      </c>
      <c r="E41" s="9"/>
      <c r="F41" s="7">
        <v>308</v>
      </c>
      <c r="G41" t="s">
        <v>679</v>
      </c>
      <c r="H41" t="s">
        <v>680</v>
      </c>
    </row>
    <row r="42" spans="1:8" x14ac:dyDescent="0.3">
      <c r="A42" s="7" t="s">
        <v>742</v>
      </c>
      <c r="B42" t="s">
        <v>743</v>
      </c>
      <c r="C42" t="s">
        <v>672</v>
      </c>
      <c r="D42" s="8">
        <v>6080000</v>
      </c>
      <c r="E42" s="9"/>
      <c r="F42" s="7">
        <v>309</v>
      </c>
      <c r="G42" t="s">
        <v>658</v>
      </c>
      <c r="H42" t="s">
        <v>659</v>
      </c>
    </row>
    <row r="43" spans="1:8" x14ac:dyDescent="0.3">
      <c r="A43" s="7" t="s">
        <v>742</v>
      </c>
      <c r="B43" t="s">
        <v>744</v>
      </c>
      <c r="C43" t="s">
        <v>717</v>
      </c>
      <c r="D43" s="8">
        <v>7190000</v>
      </c>
      <c r="E43" s="9"/>
      <c r="F43" s="7">
        <v>310</v>
      </c>
      <c r="G43" t="s">
        <v>679</v>
      </c>
      <c r="H43" t="s">
        <v>659</v>
      </c>
    </row>
    <row r="44" spans="1:8" x14ac:dyDescent="0.3">
      <c r="A44" s="10" t="s">
        <v>742</v>
      </c>
      <c r="B44" s="11" t="s">
        <v>685</v>
      </c>
      <c r="C44" s="11" t="s">
        <v>685</v>
      </c>
      <c r="D44" s="12"/>
      <c r="E44" s="13"/>
      <c r="F44" s="10">
        <v>311</v>
      </c>
    </row>
    <row r="45" spans="1:8" x14ac:dyDescent="0.3">
      <c r="A45" s="7" t="s">
        <v>742</v>
      </c>
      <c r="B45" t="s">
        <v>745</v>
      </c>
      <c r="C45" t="s">
        <v>746</v>
      </c>
      <c r="D45" s="8">
        <v>1090000</v>
      </c>
      <c r="E45" s="9"/>
      <c r="F45" s="7">
        <v>312</v>
      </c>
      <c r="G45" t="s">
        <v>658</v>
      </c>
      <c r="H45" t="s">
        <v>659</v>
      </c>
    </row>
    <row r="46" spans="1:8" x14ac:dyDescent="0.3">
      <c r="A46" s="7" t="s">
        <v>747</v>
      </c>
      <c r="B46" t="s">
        <v>748</v>
      </c>
      <c r="C46" t="s">
        <v>749</v>
      </c>
      <c r="D46" s="8">
        <v>1320000</v>
      </c>
      <c r="E46" s="9"/>
      <c r="F46" s="7">
        <v>313</v>
      </c>
      <c r="G46" t="s">
        <v>658</v>
      </c>
      <c r="H46" t="s">
        <v>659</v>
      </c>
    </row>
    <row r="47" spans="1:8" x14ac:dyDescent="0.3">
      <c r="A47" s="7" t="s">
        <v>750</v>
      </c>
      <c r="B47" t="s">
        <v>751</v>
      </c>
      <c r="C47" t="s">
        <v>752</v>
      </c>
      <c r="D47" s="8">
        <v>209000</v>
      </c>
      <c r="E47" s="9"/>
      <c r="F47" s="7">
        <v>314</v>
      </c>
      <c r="G47" t="s">
        <v>679</v>
      </c>
      <c r="H47" t="s">
        <v>659</v>
      </c>
    </row>
    <row r="48" spans="1:8" x14ac:dyDescent="0.3">
      <c r="A48" s="7" t="s">
        <v>750</v>
      </c>
      <c r="B48" t="s">
        <v>753</v>
      </c>
      <c r="C48" t="s">
        <v>754</v>
      </c>
      <c r="D48" s="8">
        <v>6445000</v>
      </c>
      <c r="E48" s="9"/>
      <c r="F48" s="7">
        <v>315</v>
      </c>
      <c r="G48" t="s">
        <v>679</v>
      </c>
      <c r="H48" t="s">
        <v>659</v>
      </c>
    </row>
    <row r="49" spans="1:8" x14ac:dyDescent="0.3">
      <c r="A49" s="7" t="s">
        <v>750</v>
      </c>
      <c r="B49" t="s">
        <v>755</v>
      </c>
      <c r="C49" t="s">
        <v>665</v>
      </c>
      <c r="D49" s="8"/>
      <c r="E49" s="9">
        <v>2712</v>
      </c>
      <c r="F49" s="7">
        <v>316</v>
      </c>
      <c r="G49" t="s">
        <v>658</v>
      </c>
      <c r="H49" t="s">
        <v>659</v>
      </c>
    </row>
    <row r="50" spans="1:8" x14ac:dyDescent="0.3">
      <c r="A50" s="7" t="s">
        <v>750</v>
      </c>
      <c r="B50" t="s">
        <v>756</v>
      </c>
      <c r="C50" t="s">
        <v>757</v>
      </c>
      <c r="D50" s="8">
        <v>395000</v>
      </c>
      <c r="E50" s="9"/>
      <c r="F50" s="7">
        <v>317</v>
      </c>
      <c r="G50" t="s">
        <v>679</v>
      </c>
      <c r="H50" t="s">
        <v>659</v>
      </c>
    </row>
    <row r="51" spans="1:8" x14ac:dyDescent="0.3">
      <c r="A51" s="7" t="s">
        <v>750</v>
      </c>
      <c r="B51" t="s">
        <v>758</v>
      </c>
      <c r="C51" t="s">
        <v>754</v>
      </c>
      <c r="D51" s="8">
        <v>812000</v>
      </c>
      <c r="E51" s="9"/>
      <c r="F51" s="7">
        <v>318</v>
      </c>
      <c r="G51" t="s">
        <v>679</v>
      </c>
      <c r="H51" t="s">
        <v>659</v>
      </c>
    </row>
    <row r="52" spans="1:8" x14ac:dyDescent="0.3">
      <c r="A52" s="7" t="s">
        <v>759</v>
      </c>
      <c r="B52" t="s">
        <v>760</v>
      </c>
      <c r="C52" t="s">
        <v>761</v>
      </c>
      <c r="D52" s="8">
        <v>50000000</v>
      </c>
      <c r="E52" s="9"/>
      <c r="F52" s="7">
        <v>319</v>
      </c>
      <c r="G52" t="s">
        <v>679</v>
      </c>
      <c r="H52" t="s">
        <v>659</v>
      </c>
    </row>
    <row r="53" spans="1:8" x14ac:dyDescent="0.3">
      <c r="A53" s="7" t="s">
        <v>762</v>
      </c>
      <c r="B53" t="s">
        <v>763</v>
      </c>
      <c r="C53" t="s">
        <v>764</v>
      </c>
      <c r="D53" s="8"/>
      <c r="E53" s="9">
        <v>22390</v>
      </c>
      <c r="F53" s="7">
        <v>320</v>
      </c>
      <c r="G53" t="s">
        <v>658</v>
      </c>
      <c r="H53" t="s">
        <v>659</v>
      </c>
    </row>
    <row r="54" spans="1:8" x14ac:dyDescent="0.3">
      <c r="A54" s="7" t="s">
        <v>762</v>
      </c>
      <c r="B54" t="s">
        <v>765</v>
      </c>
      <c r="C54" t="s">
        <v>766</v>
      </c>
      <c r="D54" s="8">
        <v>405000</v>
      </c>
      <c r="E54" s="9"/>
      <c r="F54" s="7">
        <v>321</v>
      </c>
      <c r="G54" t="s">
        <v>679</v>
      </c>
      <c r="H54" t="s">
        <v>659</v>
      </c>
    </row>
    <row r="55" spans="1:8" x14ac:dyDescent="0.3">
      <c r="A55" s="7" t="s">
        <v>762</v>
      </c>
      <c r="B55" t="s">
        <v>767</v>
      </c>
      <c r="C55" t="s">
        <v>768</v>
      </c>
      <c r="D55" s="8">
        <v>7512000</v>
      </c>
      <c r="E55" s="9"/>
      <c r="F55" s="7">
        <v>322</v>
      </c>
      <c r="G55" t="s">
        <v>658</v>
      </c>
      <c r="H55" t="s">
        <v>659</v>
      </c>
    </row>
    <row r="56" spans="1:8" x14ac:dyDescent="0.3">
      <c r="A56" s="7" t="s">
        <v>769</v>
      </c>
      <c r="B56" t="s">
        <v>770</v>
      </c>
      <c r="C56" t="s">
        <v>665</v>
      </c>
      <c r="D56" s="8"/>
      <c r="E56" s="9">
        <v>1356</v>
      </c>
      <c r="F56" s="7">
        <v>323</v>
      </c>
      <c r="G56" t="s">
        <v>658</v>
      </c>
      <c r="H56" t="s">
        <v>659</v>
      </c>
    </row>
    <row r="57" spans="1:8" x14ac:dyDescent="0.3">
      <c r="A57" s="7" t="s">
        <v>769</v>
      </c>
      <c r="B57" t="s">
        <v>771</v>
      </c>
      <c r="C57" t="s">
        <v>772</v>
      </c>
      <c r="D57" s="8">
        <v>3790000</v>
      </c>
      <c r="E57" s="9"/>
      <c r="F57" s="7">
        <v>324</v>
      </c>
      <c r="G57" t="s">
        <v>679</v>
      </c>
      <c r="H57" t="s">
        <v>659</v>
      </c>
    </row>
    <row r="58" spans="1:8" x14ac:dyDescent="0.3">
      <c r="A58" s="7" t="s">
        <v>773</v>
      </c>
      <c r="B58" t="s">
        <v>774</v>
      </c>
      <c r="C58" t="s">
        <v>775</v>
      </c>
      <c r="D58" s="8">
        <v>11790000</v>
      </c>
      <c r="E58" s="9"/>
      <c r="F58" s="7">
        <v>325</v>
      </c>
      <c r="G58" t="s">
        <v>679</v>
      </c>
      <c r="H58" t="s">
        <v>659</v>
      </c>
    </row>
    <row r="59" spans="1:8" x14ac:dyDescent="0.3">
      <c r="A59" s="7" t="s">
        <v>773</v>
      </c>
      <c r="B59" t="s">
        <v>776</v>
      </c>
      <c r="C59" t="s">
        <v>777</v>
      </c>
      <c r="D59" s="8">
        <v>498000</v>
      </c>
      <c r="E59" s="9"/>
      <c r="F59" s="7">
        <v>326</v>
      </c>
      <c r="G59" t="s">
        <v>679</v>
      </c>
      <c r="H59" t="s">
        <v>659</v>
      </c>
    </row>
    <row r="60" spans="1:8" x14ac:dyDescent="0.3">
      <c r="A60" s="7" t="s">
        <v>773</v>
      </c>
      <c r="B60" t="s">
        <v>778</v>
      </c>
      <c r="C60" t="s">
        <v>779</v>
      </c>
      <c r="D60" s="8">
        <v>3345000</v>
      </c>
      <c r="E60" s="9"/>
      <c r="F60" s="7">
        <v>327</v>
      </c>
      <c r="G60" t="s">
        <v>679</v>
      </c>
      <c r="H60" t="s">
        <v>659</v>
      </c>
    </row>
    <row r="61" spans="1:8" x14ac:dyDescent="0.3">
      <c r="A61" s="7" t="s">
        <v>780</v>
      </c>
      <c r="B61" t="s">
        <v>781</v>
      </c>
      <c r="C61" t="s">
        <v>696</v>
      </c>
      <c r="D61" s="8">
        <v>2880000</v>
      </c>
      <c r="E61" s="9"/>
      <c r="F61" s="7">
        <v>328</v>
      </c>
      <c r="G61" t="s">
        <v>658</v>
      </c>
      <c r="H61" t="s">
        <v>659</v>
      </c>
    </row>
    <row r="62" spans="1:8" x14ac:dyDescent="0.3">
      <c r="A62" s="7" t="s">
        <v>782</v>
      </c>
      <c r="B62" t="s">
        <v>783</v>
      </c>
      <c r="C62" t="s">
        <v>784</v>
      </c>
      <c r="D62" s="8">
        <v>419000</v>
      </c>
      <c r="E62" s="9"/>
      <c r="F62" s="7">
        <v>329</v>
      </c>
      <c r="G62" t="s">
        <v>679</v>
      </c>
      <c r="H62" t="s">
        <v>659</v>
      </c>
    </row>
    <row r="63" spans="1:8" x14ac:dyDescent="0.3">
      <c r="A63" s="10" t="s">
        <v>684</v>
      </c>
      <c r="B63" s="11" t="s">
        <v>685</v>
      </c>
      <c r="C63" s="11" t="s">
        <v>685</v>
      </c>
      <c r="D63" s="12"/>
      <c r="E63" s="13"/>
      <c r="F63" s="10">
        <v>330</v>
      </c>
    </row>
    <row r="64" spans="1:8" x14ac:dyDescent="0.3">
      <c r="A64" s="7" t="s">
        <v>782</v>
      </c>
      <c r="B64" t="s">
        <v>785</v>
      </c>
      <c r="C64" t="s">
        <v>786</v>
      </c>
      <c r="D64" s="8">
        <v>14112000</v>
      </c>
      <c r="E64" s="9"/>
      <c r="F64" s="7">
        <v>331</v>
      </c>
      <c r="G64" t="s">
        <v>658</v>
      </c>
      <c r="H64" t="s">
        <v>787</v>
      </c>
    </row>
    <row r="65" spans="1:8" x14ac:dyDescent="0.3">
      <c r="A65" s="7" t="s">
        <v>782</v>
      </c>
      <c r="B65" t="s">
        <v>788</v>
      </c>
      <c r="C65" t="s">
        <v>789</v>
      </c>
      <c r="D65" s="8">
        <v>65000</v>
      </c>
      <c r="E65" s="9"/>
      <c r="F65" s="7">
        <v>332</v>
      </c>
      <c r="G65" t="s">
        <v>679</v>
      </c>
      <c r="H65" t="s">
        <v>659</v>
      </c>
    </row>
    <row r="66" spans="1:8" x14ac:dyDescent="0.3">
      <c r="A66" s="7" t="s">
        <v>790</v>
      </c>
      <c r="B66" t="s">
        <v>776</v>
      </c>
      <c r="C66" t="s">
        <v>777</v>
      </c>
      <c r="D66" s="8">
        <v>498000</v>
      </c>
      <c r="E66" s="9"/>
      <c r="F66" s="7">
        <v>333</v>
      </c>
      <c r="G66" t="s">
        <v>679</v>
      </c>
      <c r="H66" t="s">
        <v>659</v>
      </c>
    </row>
    <row r="67" spans="1:8" x14ac:dyDescent="0.3">
      <c r="A67" s="7" t="s">
        <v>790</v>
      </c>
      <c r="B67" t="s">
        <v>791</v>
      </c>
      <c r="C67" t="s">
        <v>792</v>
      </c>
      <c r="D67" s="8">
        <v>1585000</v>
      </c>
      <c r="E67" s="9"/>
      <c r="F67" s="7">
        <v>334</v>
      </c>
      <c r="G67" t="s">
        <v>679</v>
      </c>
      <c r="H67" t="s">
        <v>659</v>
      </c>
    </row>
    <row r="68" spans="1:8" x14ac:dyDescent="0.3">
      <c r="A68" s="7" t="s">
        <v>790</v>
      </c>
      <c r="B68" t="s">
        <v>736</v>
      </c>
      <c r="C68" t="s">
        <v>793</v>
      </c>
      <c r="D68" s="8">
        <v>199000</v>
      </c>
      <c r="E68" s="9"/>
      <c r="F68" s="7">
        <v>335</v>
      </c>
      <c r="G68" t="s">
        <v>679</v>
      </c>
      <c r="H68" t="s">
        <v>659</v>
      </c>
    </row>
    <row r="69" spans="1:8" x14ac:dyDescent="0.3">
      <c r="A69" s="10" t="s">
        <v>684</v>
      </c>
      <c r="B69" s="11" t="s">
        <v>685</v>
      </c>
      <c r="C69" s="11" t="s">
        <v>685</v>
      </c>
      <c r="D69" s="12"/>
      <c r="E69" s="13"/>
      <c r="F69" s="10">
        <v>336</v>
      </c>
    </row>
    <row r="70" spans="1:8" x14ac:dyDescent="0.3">
      <c r="A70" s="10" t="s">
        <v>684</v>
      </c>
      <c r="B70" s="11" t="s">
        <v>685</v>
      </c>
      <c r="C70" s="11" t="s">
        <v>685</v>
      </c>
      <c r="D70" s="12"/>
      <c r="E70" s="13"/>
      <c r="F70" s="10">
        <v>337</v>
      </c>
    </row>
    <row r="71" spans="1:8" x14ac:dyDescent="0.3">
      <c r="A71" s="7" t="s">
        <v>790</v>
      </c>
      <c r="B71" t="s">
        <v>794</v>
      </c>
      <c r="C71" t="s">
        <v>735</v>
      </c>
      <c r="D71" s="8">
        <v>3160000</v>
      </c>
      <c r="E71" s="9"/>
      <c r="F71" s="7">
        <v>338</v>
      </c>
      <c r="G71" t="s">
        <v>658</v>
      </c>
      <c r="H71" t="s">
        <v>659</v>
      </c>
    </row>
    <row r="72" spans="1:8" x14ac:dyDescent="0.3">
      <c r="A72" s="7" t="s">
        <v>795</v>
      </c>
      <c r="B72" t="s">
        <v>778</v>
      </c>
      <c r="C72" t="s">
        <v>796</v>
      </c>
      <c r="D72" s="8">
        <v>3645000</v>
      </c>
      <c r="E72" s="9"/>
      <c r="F72" s="7">
        <v>339</v>
      </c>
      <c r="G72" t="s">
        <v>679</v>
      </c>
      <c r="H72" t="s">
        <v>797</v>
      </c>
    </row>
    <row r="73" spans="1:8" x14ac:dyDescent="0.3">
      <c r="A73" s="7" t="s">
        <v>795</v>
      </c>
      <c r="B73" t="s">
        <v>798</v>
      </c>
      <c r="C73" t="s">
        <v>707</v>
      </c>
      <c r="D73" s="8">
        <v>890000</v>
      </c>
      <c r="E73" s="9"/>
      <c r="F73" s="7">
        <v>340</v>
      </c>
      <c r="G73" t="s">
        <v>679</v>
      </c>
    </row>
    <row r="74" spans="1:8" x14ac:dyDescent="0.3">
      <c r="A74" s="7" t="s">
        <v>795</v>
      </c>
      <c r="B74" t="s">
        <v>799</v>
      </c>
      <c r="C74" t="s">
        <v>707</v>
      </c>
      <c r="D74" s="8">
        <v>3240000</v>
      </c>
      <c r="E74" s="9"/>
      <c r="F74" s="7">
        <v>341</v>
      </c>
      <c r="G74" t="s">
        <v>679</v>
      </c>
    </row>
    <row r="75" spans="1:8" x14ac:dyDescent="0.3">
      <c r="A75" s="7" t="s">
        <v>800</v>
      </c>
      <c r="B75" t="s">
        <v>801</v>
      </c>
      <c r="C75" t="s">
        <v>674</v>
      </c>
      <c r="D75" s="8">
        <v>1970000</v>
      </c>
      <c r="E75" s="9"/>
      <c r="F75" s="7">
        <v>342</v>
      </c>
      <c r="G75" t="s">
        <v>658</v>
      </c>
      <c r="H75" t="s">
        <v>659</v>
      </c>
    </row>
    <row r="76" spans="1:8" x14ac:dyDescent="0.3">
      <c r="A76" s="7" t="s">
        <v>800</v>
      </c>
      <c r="B76" t="s">
        <v>802</v>
      </c>
      <c r="C76" t="s">
        <v>803</v>
      </c>
      <c r="D76" s="8">
        <v>1690000</v>
      </c>
      <c r="E76" s="9"/>
      <c r="F76" s="7">
        <v>343</v>
      </c>
      <c r="G76" t="s">
        <v>679</v>
      </c>
      <c r="H76" t="s">
        <v>659</v>
      </c>
    </row>
    <row r="77" spans="1:8" x14ac:dyDescent="0.3">
      <c r="A77" s="7" t="s">
        <v>804</v>
      </c>
      <c r="B77" t="s">
        <v>805</v>
      </c>
      <c r="C77" t="s">
        <v>806</v>
      </c>
      <c r="D77" s="8">
        <v>6690000</v>
      </c>
      <c r="E77" s="9"/>
      <c r="F77" s="7">
        <v>345</v>
      </c>
      <c r="G77" t="s">
        <v>679</v>
      </c>
      <c r="H77" t="s">
        <v>659</v>
      </c>
    </row>
    <row r="78" spans="1:8" x14ac:dyDescent="0.3">
      <c r="A78" s="7" t="s">
        <v>807</v>
      </c>
      <c r="B78" t="s">
        <v>808</v>
      </c>
      <c r="C78" t="s">
        <v>809</v>
      </c>
      <c r="D78" s="8">
        <v>405000</v>
      </c>
      <c r="E78" s="9"/>
      <c r="F78" s="7">
        <v>346</v>
      </c>
      <c r="G78" t="s">
        <v>679</v>
      </c>
      <c r="H78" t="s">
        <v>659</v>
      </c>
    </row>
    <row r="79" spans="1:8" x14ac:dyDescent="0.3">
      <c r="A79" s="7" t="s">
        <v>807</v>
      </c>
      <c r="B79" t="s">
        <v>810</v>
      </c>
      <c r="C79" t="s">
        <v>811</v>
      </c>
      <c r="D79" s="8">
        <v>2370000</v>
      </c>
      <c r="E79" s="9"/>
      <c r="F79" s="7">
        <v>347</v>
      </c>
      <c r="G79" t="s">
        <v>658</v>
      </c>
      <c r="H79" t="s">
        <v>659</v>
      </c>
    </row>
    <row r="80" spans="1:8" x14ac:dyDescent="0.3">
      <c r="A80" s="7" t="s">
        <v>807</v>
      </c>
      <c r="B80" t="s">
        <v>812</v>
      </c>
      <c r="C80" t="s">
        <v>665</v>
      </c>
      <c r="D80" s="8"/>
      <c r="E80" s="9">
        <v>6257.66</v>
      </c>
      <c r="F80" s="7">
        <v>348</v>
      </c>
      <c r="G80" t="s">
        <v>658</v>
      </c>
    </row>
    <row r="81" spans="1:8" x14ac:dyDescent="0.3">
      <c r="A81" s="7" t="s">
        <v>807</v>
      </c>
      <c r="B81" t="s">
        <v>813</v>
      </c>
      <c r="C81" t="s">
        <v>792</v>
      </c>
      <c r="D81" s="8">
        <v>1635000</v>
      </c>
      <c r="E81" s="9"/>
      <c r="F81" s="7">
        <v>349</v>
      </c>
      <c r="G81" t="s">
        <v>679</v>
      </c>
      <c r="H81" t="s">
        <v>659</v>
      </c>
    </row>
    <row r="82" spans="1:8" x14ac:dyDescent="0.3">
      <c r="A82" s="10" t="s">
        <v>684</v>
      </c>
      <c r="B82" s="11" t="s">
        <v>685</v>
      </c>
      <c r="C82" s="11" t="s">
        <v>685</v>
      </c>
      <c r="D82" s="12"/>
      <c r="E82" s="13"/>
      <c r="F82" s="10">
        <v>350</v>
      </c>
    </row>
    <row r="83" spans="1:8" x14ac:dyDescent="0.3">
      <c r="A83" s="7" t="s">
        <v>814</v>
      </c>
      <c r="B83" t="s">
        <v>691</v>
      </c>
      <c r="C83" t="s">
        <v>815</v>
      </c>
      <c r="D83" s="8">
        <v>990000</v>
      </c>
      <c r="E83" s="9"/>
      <c r="F83" s="7">
        <v>351</v>
      </c>
      <c r="G83" t="s">
        <v>679</v>
      </c>
      <c r="H83" t="s">
        <v>659</v>
      </c>
    </row>
    <row r="84" spans="1:8" x14ac:dyDescent="0.3">
      <c r="A84" s="7" t="s">
        <v>814</v>
      </c>
      <c r="B84" t="s">
        <v>816</v>
      </c>
      <c r="C84" t="s">
        <v>735</v>
      </c>
      <c r="D84" s="8">
        <v>1580000</v>
      </c>
      <c r="E84" s="9"/>
      <c r="F84" s="7">
        <v>352</v>
      </c>
      <c r="G84" t="s">
        <v>658</v>
      </c>
      <c r="H84" t="s">
        <v>659</v>
      </c>
    </row>
    <row r="85" spans="1:8" x14ac:dyDescent="0.3">
      <c r="A85" s="7" t="s">
        <v>817</v>
      </c>
      <c r="B85" t="s">
        <v>818</v>
      </c>
      <c r="C85" t="s">
        <v>657</v>
      </c>
      <c r="D85" s="8">
        <v>1970000</v>
      </c>
      <c r="E85" s="9"/>
      <c r="F85" s="7">
        <v>353</v>
      </c>
      <c r="G85" t="s">
        <v>658</v>
      </c>
      <c r="H85" t="s">
        <v>659</v>
      </c>
    </row>
    <row r="86" spans="1:8" x14ac:dyDescent="0.3">
      <c r="A86" s="7" t="s">
        <v>817</v>
      </c>
      <c r="B86" t="s">
        <v>716</v>
      </c>
      <c r="C86" t="s">
        <v>819</v>
      </c>
      <c r="D86" s="8">
        <v>5190000</v>
      </c>
      <c r="E86" s="9"/>
      <c r="F86" s="7">
        <v>354</v>
      </c>
      <c r="G86" t="s">
        <v>679</v>
      </c>
      <c r="H86" t="s">
        <v>659</v>
      </c>
    </row>
    <row r="87" spans="1:8" x14ac:dyDescent="0.3">
      <c r="A87" s="7" t="s">
        <v>817</v>
      </c>
      <c r="B87" t="s">
        <v>820</v>
      </c>
      <c r="C87" t="s">
        <v>821</v>
      </c>
      <c r="D87" s="8">
        <v>53800000</v>
      </c>
      <c r="E87" s="9"/>
      <c r="F87" s="7">
        <v>355</v>
      </c>
      <c r="G87" t="s">
        <v>658</v>
      </c>
      <c r="H87" t="s">
        <v>659</v>
      </c>
    </row>
    <row r="88" spans="1:8" x14ac:dyDescent="0.3">
      <c r="A88" s="10" t="s">
        <v>684</v>
      </c>
      <c r="B88" s="11" t="s">
        <v>685</v>
      </c>
      <c r="C88" s="11" t="s">
        <v>685</v>
      </c>
      <c r="D88" s="12"/>
      <c r="E88" s="13"/>
      <c r="F88" s="10">
        <v>356</v>
      </c>
    </row>
    <row r="89" spans="1:8" x14ac:dyDescent="0.3">
      <c r="A89" s="7" t="s">
        <v>822</v>
      </c>
      <c r="B89" t="s">
        <v>823</v>
      </c>
      <c r="C89" t="s">
        <v>707</v>
      </c>
      <c r="D89" s="8">
        <v>4320000</v>
      </c>
      <c r="E89" s="9"/>
      <c r="F89" s="7">
        <v>357</v>
      </c>
      <c r="G89" t="s">
        <v>679</v>
      </c>
      <c r="H89" t="s">
        <v>787</v>
      </c>
    </row>
    <row r="90" spans="1:8" x14ac:dyDescent="0.3">
      <c r="A90" s="7" t="s">
        <v>824</v>
      </c>
      <c r="B90" t="s">
        <v>825</v>
      </c>
      <c r="C90" t="s">
        <v>811</v>
      </c>
      <c r="D90" s="8">
        <v>1580000</v>
      </c>
      <c r="E90" s="9"/>
      <c r="F90" s="7">
        <v>358</v>
      </c>
      <c r="G90" t="s">
        <v>658</v>
      </c>
      <c r="H90" t="s">
        <v>659</v>
      </c>
    </row>
    <row r="91" spans="1:8" x14ac:dyDescent="0.3">
      <c r="A91" s="7" t="s">
        <v>824</v>
      </c>
      <c r="B91" t="s">
        <v>826</v>
      </c>
      <c r="C91" t="s">
        <v>827</v>
      </c>
      <c r="D91" s="8">
        <v>11976000</v>
      </c>
      <c r="E91" s="9"/>
      <c r="F91" s="7">
        <v>359</v>
      </c>
      <c r="G91" t="s">
        <v>658</v>
      </c>
      <c r="H91" t="s">
        <v>659</v>
      </c>
    </row>
    <row r="92" spans="1:8" x14ac:dyDescent="0.3">
      <c r="A92" s="7" t="s">
        <v>824</v>
      </c>
      <c r="B92" t="s">
        <v>828</v>
      </c>
      <c r="C92" t="s">
        <v>829</v>
      </c>
      <c r="D92" s="8">
        <v>1990000</v>
      </c>
      <c r="E92" s="9"/>
      <c r="F92" s="7">
        <v>360</v>
      </c>
      <c r="G92" t="s">
        <v>679</v>
      </c>
      <c r="H92" t="s">
        <v>659</v>
      </c>
    </row>
    <row r="93" spans="1:8" x14ac:dyDescent="0.3">
      <c r="A93" s="7" t="s">
        <v>824</v>
      </c>
      <c r="B93" t="s">
        <v>794</v>
      </c>
      <c r="C93" t="s">
        <v>713</v>
      </c>
      <c r="D93" s="8">
        <v>3160000</v>
      </c>
      <c r="E93" s="9"/>
      <c r="F93" s="7">
        <v>361</v>
      </c>
      <c r="G93" t="s">
        <v>658</v>
      </c>
      <c r="H93" t="s">
        <v>659</v>
      </c>
    </row>
    <row r="94" spans="1:8" x14ac:dyDescent="0.3">
      <c r="A94" s="7" t="s">
        <v>830</v>
      </c>
      <c r="B94" t="s">
        <v>831</v>
      </c>
      <c r="C94" t="s">
        <v>665</v>
      </c>
      <c r="D94" s="8"/>
      <c r="E94" s="9">
        <v>3616</v>
      </c>
      <c r="F94" s="7">
        <v>362</v>
      </c>
      <c r="G94" t="s">
        <v>658</v>
      </c>
      <c r="H94" t="s">
        <v>659</v>
      </c>
    </row>
    <row r="95" spans="1:8" x14ac:dyDescent="0.3">
      <c r="A95" s="7" t="s">
        <v>830</v>
      </c>
      <c r="B95" t="s">
        <v>832</v>
      </c>
      <c r="C95" t="s">
        <v>815</v>
      </c>
      <c r="D95" s="8">
        <v>1980000</v>
      </c>
      <c r="E95" s="9"/>
      <c r="F95" s="7">
        <v>363</v>
      </c>
      <c r="G95" t="s">
        <v>679</v>
      </c>
      <c r="H95" t="s">
        <v>659</v>
      </c>
    </row>
    <row r="96" spans="1:8" x14ac:dyDescent="0.3">
      <c r="A96" s="7" t="s">
        <v>830</v>
      </c>
      <c r="B96" t="s">
        <v>736</v>
      </c>
      <c r="C96" t="s">
        <v>833</v>
      </c>
      <c r="D96" s="8">
        <v>199000</v>
      </c>
      <c r="E96" s="9"/>
      <c r="F96" s="7">
        <v>364</v>
      </c>
      <c r="G96" t="s">
        <v>679</v>
      </c>
      <c r="H96" t="s">
        <v>659</v>
      </c>
    </row>
    <row r="97" spans="1:8" x14ac:dyDescent="0.3">
      <c r="A97" s="7" t="s">
        <v>834</v>
      </c>
      <c r="B97" t="s">
        <v>736</v>
      </c>
      <c r="C97" t="s">
        <v>835</v>
      </c>
      <c r="D97" s="8">
        <v>199000</v>
      </c>
      <c r="E97" s="9"/>
      <c r="F97" s="7">
        <v>365</v>
      </c>
      <c r="G97" t="s">
        <v>679</v>
      </c>
      <c r="H97" t="s">
        <v>659</v>
      </c>
    </row>
    <row r="98" spans="1:8" x14ac:dyDescent="0.3">
      <c r="A98" s="7" t="s">
        <v>834</v>
      </c>
      <c r="B98" t="s">
        <v>836</v>
      </c>
      <c r="C98" t="s">
        <v>672</v>
      </c>
      <c r="D98" s="8">
        <v>2958000</v>
      </c>
      <c r="E98" s="9"/>
      <c r="F98" s="7">
        <v>366</v>
      </c>
      <c r="G98" t="s">
        <v>658</v>
      </c>
      <c r="H98" t="s">
        <v>659</v>
      </c>
    </row>
    <row r="99" spans="1:8" x14ac:dyDescent="0.3">
      <c r="A99" s="7" t="s">
        <v>837</v>
      </c>
      <c r="B99" t="s">
        <v>838</v>
      </c>
      <c r="C99" t="s">
        <v>815</v>
      </c>
      <c r="D99" s="8">
        <v>1980000</v>
      </c>
      <c r="E99" s="9"/>
      <c r="F99" s="7">
        <v>367</v>
      </c>
      <c r="G99" t="s">
        <v>679</v>
      </c>
      <c r="H99" t="s">
        <v>659</v>
      </c>
    </row>
    <row r="100" spans="1:8" x14ac:dyDescent="0.3">
      <c r="A100" s="7" t="s">
        <v>837</v>
      </c>
      <c r="B100" t="s">
        <v>839</v>
      </c>
      <c r="C100" t="s">
        <v>735</v>
      </c>
      <c r="D100" s="8">
        <v>790000</v>
      </c>
      <c r="E100" s="9"/>
      <c r="F100" s="7">
        <v>368</v>
      </c>
      <c r="G100" t="s">
        <v>679</v>
      </c>
      <c r="H100" t="s">
        <v>659</v>
      </c>
    </row>
    <row r="101" spans="1:8" x14ac:dyDescent="0.3">
      <c r="A101" s="7" t="s">
        <v>837</v>
      </c>
      <c r="B101" t="s">
        <v>736</v>
      </c>
      <c r="C101" t="s">
        <v>840</v>
      </c>
      <c r="D101" s="8">
        <v>200000</v>
      </c>
      <c r="E101" s="9"/>
      <c r="F101" s="7">
        <v>369</v>
      </c>
      <c r="G101" t="s">
        <v>679</v>
      </c>
      <c r="H101" t="s">
        <v>680</v>
      </c>
    </row>
    <row r="102" spans="1:8" x14ac:dyDescent="0.3">
      <c r="A102" s="10" t="s">
        <v>684</v>
      </c>
      <c r="B102" s="11" t="s">
        <v>685</v>
      </c>
      <c r="C102" s="11" t="s">
        <v>685</v>
      </c>
      <c r="D102" s="12"/>
      <c r="E102" s="13"/>
      <c r="F102" s="10">
        <v>370</v>
      </c>
    </row>
    <row r="103" spans="1:8" x14ac:dyDescent="0.3">
      <c r="A103" s="7" t="s">
        <v>841</v>
      </c>
      <c r="B103" t="s">
        <v>839</v>
      </c>
      <c r="C103" t="s">
        <v>842</v>
      </c>
      <c r="D103" s="8">
        <v>790000</v>
      </c>
      <c r="E103" s="9"/>
      <c r="F103" s="7">
        <v>371</v>
      </c>
      <c r="G103" t="s">
        <v>658</v>
      </c>
      <c r="H103" t="s">
        <v>659</v>
      </c>
    </row>
    <row r="104" spans="1:8" x14ac:dyDescent="0.3">
      <c r="A104" s="7" t="s">
        <v>841</v>
      </c>
      <c r="B104" t="s">
        <v>728</v>
      </c>
      <c r="C104" t="s">
        <v>843</v>
      </c>
      <c r="D104" s="8">
        <v>199000</v>
      </c>
      <c r="E104" s="9"/>
      <c r="F104" s="7">
        <v>372</v>
      </c>
      <c r="G104" t="s">
        <v>679</v>
      </c>
      <c r="H104" t="s">
        <v>659</v>
      </c>
    </row>
    <row r="105" spans="1:8" x14ac:dyDescent="0.3">
      <c r="A105" s="7" t="s">
        <v>841</v>
      </c>
      <c r="B105" t="s">
        <v>776</v>
      </c>
      <c r="C105" t="s">
        <v>777</v>
      </c>
      <c r="D105" s="8">
        <v>498000</v>
      </c>
      <c r="E105" s="9"/>
      <c r="F105" s="7">
        <v>373</v>
      </c>
      <c r="G105" t="s">
        <v>679</v>
      </c>
      <c r="H105" t="s">
        <v>659</v>
      </c>
    </row>
    <row r="106" spans="1:8" x14ac:dyDescent="0.3">
      <c r="A106" s="7" t="s">
        <v>841</v>
      </c>
      <c r="B106" t="s">
        <v>844</v>
      </c>
      <c r="C106" t="s">
        <v>707</v>
      </c>
      <c r="D106" s="8">
        <v>7560000</v>
      </c>
      <c r="E106" s="9"/>
      <c r="F106" s="7">
        <v>374</v>
      </c>
      <c r="G106" t="s">
        <v>679</v>
      </c>
      <c r="H106" t="s">
        <v>787</v>
      </c>
    </row>
    <row r="107" spans="1:8" x14ac:dyDescent="0.3">
      <c r="A107" s="7" t="s">
        <v>841</v>
      </c>
      <c r="B107" t="s">
        <v>845</v>
      </c>
      <c r="C107" t="s">
        <v>846</v>
      </c>
      <c r="D107" s="8">
        <v>209000</v>
      </c>
      <c r="E107" s="9"/>
      <c r="F107" s="7">
        <v>375</v>
      </c>
      <c r="G107" t="s">
        <v>679</v>
      </c>
      <c r="H107" t="s">
        <v>659</v>
      </c>
    </row>
    <row r="108" spans="1:8" x14ac:dyDescent="0.3">
      <c r="A108" s="7" t="s">
        <v>847</v>
      </c>
      <c r="B108" t="s">
        <v>848</v>
      </c>
      <c r="C108" t="s">
        <v>696</v>
      </c>
      <c r="D108" s="8">
        <v>2880000</v>
      </c>
      <c r="E108" s="9"/>
      <c r="F108" s="7">
        <v>376</v>
      </c>
      <c r="G108" t="s">
        <v>658</v>
      </c>
      <c r="H108" t="s">
        <v>659</v>
      </c>
    </row>
    <row r="109" spans="1:8" x14ac:dyDescent="0.3">
      <c r="A109" s="7" t="s">
        <v>849</v>
      </c>
      <c r="B109" t="s">
        <v>850</v>
      </c>
      <c r="C109" t="s">
        <v>851</v>
      </c>
      <c r="D109" s="8">
        <v>775000</v>
      </c>
      <c r="E109" s="9"/>
      <c r="F109" s="7">
        <v>377</v>
      </c>
      <c r="G109" t="s">
        <v>679</v>
      </c>
      <c r="H109" t="s">
        <v>659</v>
      </c>
    </row>
    <row r="110" spans="1:8" x14ac:dyDescent="0.3">
      <c r="A110" s="7" t="s">
        <v>849</v>
      </c>
      <c r="B110" t="s">
        <v>852</v>
      </c>
      <c r="C110" t="s">
        <v>665</v>
      </c>
      <c r="D110" s="8"/>
      <c r="E110" s="9">
        <v>3164</v>
      </c>
      <c r="F110" s="7">
        <v>378</v>
      </c>
      <c r="G110" t="s">
        <v>658</v>
      </c>
      <c r="H110" t="s">
        <v>659</v>
      </c>
    </row>
    <row r="111" spans="1:8" x14ac:dyDescent="0.3">
      <c r="A111" s="10" t="s">
        <v>684</v>
      </c>
      <c r="B111" s="11" t="s">
        <v>685</v>
      </c>
      <c r="C111" s="11" t="s">
        <v>685</v>
      </c>
      <c r="D111" s="12"/>
      <c r="E111" s="13"/>
      <c r="F111" s="10">
        <v>379</v>
      </c>
    </row>
    <row r="112" spans="1:8" x14ac:dyDescent="0.3">
      <c r="A112" s="10" t="s">
        <v>684</v>
      </c>
      <c r="B112" s="11" t="s">
        <v>685</v>
      </c>
      <c r="C112" s="11" t="s">
        <v>685</v>
      </c>
      <c r="D112" s="12"/>
      <c r="E112" s="13"/>
      <c r="F112" s="10">
        <v>380</v>
      </c>
    </row>
    <row r="113" spans="1:8" x14ac:dyDescent="0.3">
      <c r="A113" s="7" t="s">
        <v>849</v>
      </c>
      <c r="B113" t="s">
        <v>853</v>
      </c>
      <c r="C113" t="s">
        <v>854</v>
      </c>
      <c r="D113" s="8">
        <v>6390000</v>
      </c>
      <c r="E113" s="9"/>
      <c r="F113" s="7">
        <v>381</v>
      </c>
      <c r="G113" t="s">
        <v>679</v>
      </c>
      <c r="H113" t="s">
        <v>659</v>
      </c>
    </row>
    <row r="114" spans="1:8" x14ac:dyDescent="0.3">
      <c r="A114" s="7" t="s">
        <v>855</v>
      </c>
      <c r="B114" t="s">
        <v>856</v>
      </c>
      <c r="C114" t="s">
        <v>792</v>
      </c>
      <c r="D114" s="8">
        <v>1635000</v>
      </c>
      <c r="E114" s="9"/>
      <c r="F114" s="7">
        <v>382</v>
      </c>
      <c r="G114" t="s">
        <v>679</v>
      </c>
      <c r="H114" t="s">
        <v>659</v>
      </c>
    </row>
    <row r="115" spans="1:8" x14ac:dyDescent="0.3">
      <c r="A115" s="7" t="s">
        <v>855</v>
      </c>
      <c r="B115" t="s">
        <v>857</v>
      </c>
      <c r="C115" t="s">
        <v>858</v>
      </c>
      <c r="D115" s="8">
        <v>220000</v>
      </c>
      <c r="E115" s="9"/>
      <c r="F115" s="7">
        <v>383</v>
      </c>
      <c r="G115" t="s">
        <v>679</v>
      </c>
      <c r="H115" t="s">
        <v>659</v>
      </c>
    </row>
    <row r="116" spans="1:8" x14ac:dyDescent="0.3">
      <c r="A116" s="7" t="s">
        <v>855</v>
      </c>
      <c r="B116" t="s">
        <v>850</v>
      </c>
      <c r="C116" t="s">
        <v>859</v>
      </c>
      <c r="D116" s="8">
        <v>775000</v>
      </c>
      <c r="E116" s="9"/>
      <c r="F116" s="7">
        <v>384</v>
      </c>
      <c r="G116" t="s">
        <v>679</v>
      </c>
      <c r="H116" t="s">
        <v>659</v>
      </c>
    </row>
    <row r="117" spans="1:8" x14ac:dyDescent="0.3">
      <c r="A117" s="10" t="s">
        <v>684</v>
      </c>
      <c r="B117" s="11" t="s">
        <v>685</v>
      </c>
      <c r="C117" s="11" t="s">
        <v>685</v>
      </c>
      <c r="D117" s="12"/>
      <c r="E117" s="13"/>
      <c r="F117" s="10">
        <v>385</v>
      </c>
    </row>
    <row r="118" spans="1:8" x14ac:dyDescent="0.3">
      <c r="A118" s="10" t="s">
        <v>684</v>
      </c>
      <c r="B118" s="11" t="s">
        <v>685</v>
      </c>
      <c r="C118" s="11" t="s">
        <v>685</v>
      </c>
      <c r="D118" s="12"/>
      <c r="E118" s="13"/>
      <c r="F118" s="10">
        <v>386</v>
      </c>
    </row>
    <row r="119" spans="1:8" x14ac:dyDescent="0.3">
      <c r="A119" s="7" t="s">
        <v>860</v>
      </c>
      <c r="B119" t="s">
        <v>861</v>
      </c>
      <c r="C119" t="s">
        <v>661</v>
      </c>
      <c r="D119" s="8">
        <v>19404000</v>
      </c>
      <c r="E119" s="9"/>
      <c r="F119" s="7">
        <v>387</v>
      </c>
      <c r="G119" t="s">
        <v>658</v>
      </c>
      <c r="H119" t="s">
        <v>659</v>
      </c>
    </row>
    <row r="120" spans="1:8" x14ac:dyDescent="0.3">
      <c r="A120" s="7" t="s">
        <v>860</v>
      </c>
      <c r="B120" t="s">
        <v>820</v>
      </c>
      <c r="C120" t="s">
        <v>862</v>
      </c>
      <c r="D120" s="8">
        <v>53600000</v>
      </c>
      <c r="E120" s="9"/>
      <c r="F120" s="7">
        <v>388</v>
      </c>
      <c r="G120" t="s">
        <v>679</v>
      </c>
      <c r="H120" t="s">
        <v>659</v>
      </c>
    </row>
    <row r="121" spans="1:8" x14ac:dyDescent="0.3">
      <c r="A121" s="7" t="s">
        <v>863</v>
      </c>
      <c r="B121" t="s">
        <v>853</v>
      </c>
      <c r="C121" t="s">
        <v>864</v>
      </c>
      <c r="D121" s="8">
        <v>6300000</v>
      </c>
      <c r="E121" s="9"/>
      <c r="F121" s="7">
        <v>389</v>
      </c>
      <c r="G121" t="s">
        <v>679</v>
      </c>
      <c r="H121" t="s">
        <v>659</v>
      </c>
    </row>
    <row r="122" spans="1:8" x14ac:dyDescent="0.3">
      <c r="A122" s="7" t="s">
        <v>865</v>
      </c>
      <c r="B122" t="s">
        <v>866</v>
      </c>
      <c r="C122" t="s">
        <v>867</v>
      </c>
      <c r="D122" s="8">
        <v>19039000</v>
      </c>
      <c r="E122" s="9"/>
      <c r="F122" s="7">
        <v>390</v>
      </c>
      <c r="G122" t="s">
        <v>679</v>
      </c>
      <c r="H122" t="s">
        <v>659</v>
      </c>
    </row>
    <row r="123" spans="1:8" x14ac:dyDescent="0.3">
      <c r="A123" s="7" t="s">
        <v>865</v>
      </c>
      <c r="B123" t="s">
        <v>868</v>
      </c>
      <c r="C123" t="s">
        <v>672</v>
      </c>
      <c r="D123" s="8">
        <v>8981700</v>
      </c>
      <c r="E123" s="9"/>
      <c r="F123" s="7">
        <v>391</v>
      </c>
      <c r="G123" t="s">
        <v>658</v>
      </c>
      <c r="H123" t="s">
        <v>659</v>
      </c>
    </row>
    <row r="124" spans="1:8" x14ac:dyDescent="0.3">
      <c r="A124" s="7" t="s">
        <v>869</v>
      </c>
      <c r="B124" t="s">
        <v>870</v>
      </c>
      <c r="C124" t="s">
        <v>871</v>
      </c>
      <c r="D124" s="8">
        <v>265000</v>
      </c>
      <c r="E124" s="9"/>
      <c r="F124" s="7">
        <v>392</v>
      </c>
      <c r="G124" t="s">
        <v>679</v>
      </c>
      <c r="H124" t="s">
        <v>659</v>
      </c>
    </row>
    <row r="125" spans="1:8" x14ac:dyDescent="0.3">
      <c r="A125" s="7" t="s">
        <v>869</v>
      </c>
      <c r="B125" t="s">
        <v>872</v>
      </c>
      <c r="C125" t="s">
        <v>873</v>
      </c>
      <c r="D125" s="8">
        <v>990000</v>
      </c>
      <c r="E125" s="9"/>
      <c r="F125" s="7">
        <v>393</v>
      </c>
      <c r="G125" t="s">
        <v>658</v>
      </c>
      <c r="H125" t="s">
        <v>659</v>
      </c>
    </row>
    <row r="126" spans="1:8" x14ac:dyDescent="0.3">
      <c r="A126" s="7" t="s">
        <v>869</v>
      </c>
      <c r="B126" t="s">
        <v>874</v>
      </c>
      <c r="C126" t="s">
        <v>668</v>
      </c>
      <c r="D126" s="8"/>
      <c r="E126" s="9">
        <v>815</v>
      </c>
      <c r="F126" s="7">
        <v>394</v>
      </c>
    </row>
    <row r="127" spans="1:8" x14ac:dyDescent="0.3">
      <c r="A127" s="7" t="s">
        <v>869</v>
      </c>
      <c r="B127" t="s">
        <v>875</v>
      </c>
      <c r="C127" t="s">
        <v>696</v>
      </c>
      <c r="D127" s="8">
        <v>2160000</v>
      </c>
      <c r="E127" s="9"/>
      <c r="F127" s="7">
        <v>395</v>
      </c>
      <c r="G127" t="s">
        <v>658</v>
      </c>
      <c r="H127" t="s">
        <v>659</v>
      </c>
    </row>
    <row r="128" spans="1:8" x14ac:dyDescent="0.3">
      <c r="A128" s="7" t="s">
        <v>876</v>
      </c>
      <c r="B128" t="s">
        <v>877</v>
      </c>
      <c r="C128" t="s">
        <v>735</v>
      </c>
      <c r="D128" s="8">
        <v>2370000</v>
      </c>
      <c r="E128" s="9"/>
      <c r="F128" s="7">
        <v>396</v>
      </c>
      <c r="G128" t="s">
        <v>679</v>
      </c>
      <c r="H128" t="s">
        <v>659</v>
      </c>
    </row>
    <row r="129" spans="1:8" x14ac:dyDescent="0.3">
      <c r="A129" s="7" t="s">
        <v>876</v>
      </c>
      <c r="B129" t="s">
        <v>878</v>
      </c>
      <c r="C129" t="s">
        <v>665</v>
      </c>
      <c r="D129" s="8"/>
      <c r="E129" s="9">
        <v>4972</v>
      </c>
      <c r="F129" s="7">
        <v>397</v>
      </c>
      <c r="G129" t="s">
        <v>658</v>
      </c>
      <c r="H129" t="s">
        <v>659</v>
      </c>
    </row>
    <row r="130" spans="1:8" x14ac:dyDescent="0.3">
      <c r="A130" s="10" t="s">
        <v>684</v>
      </c>
      <c r="B130" s="11" t="s">
        <v>685</v>
      </c>
      <c r="C130" s="11" t="s">
        <v>685</v>
      </c>
      <c r="D130" s="12"/>
      <c r="E130" s="13"/>
      <c r="F130" s="10">
        <v>398</v>
      </c>
    </row>
    <row r="131" spans="1:8" x14ac:dyDescent="0.3">
      <c r="A131" s="7" t="s">
        <v>876</v>
      </c>
      <c r="B131" t="s">
        <v>879</v>
      </c>
      <c r="C131" t="s">
        <v>880</v>
      </c>
      <c r="D131" s="8">
        <v>61779000</v>
      </c>
      <c r="E131" s="9"/>
      <c r="F131" s="7">
        <v>399</v>
      </c>
      <c r="G131" t="s">
        <v>658</v>
      </c>
      <c r="H131" t="s">
        <v>787</v>
      </c>
    </row>
    <row r="132" spans="1:8" x14ac:dyDescent="0.3">
      <c r="A132" s="7" t="s">
        <v>876</v>
      </c>
      <c r="B132" t="s">
        <v>881</v>
      </c>
      <c r="C132" t="s">
        <v>696</v>
      </c>
      <c r="D132" s="8">
        <v>3600000</v>
      </c>
      <c r="E132" s="9"/>
      <c r="F132" s="7">
        <v>400</v>
      </c>
      <c r="G132" t="s">
        <v>658</v>
      </c>
      <c r="H132" t="s">
        <v>659</v>
      </c>
    </row>
    <row r="133" spans="1:8" x14ac:dyDescent="0.3">
      <c r="A133" s="7" t="s">
        <v>882</v>
      </c>
      <c r="B133" t="s">
        <v>883</v>
      </c>
      <c r="C133" t="s">
        <v>884</v>
      </c>
      <c r="D133" s="8">
        <v>2130000</v>
      </c>
      <c r="E133" s="9"/>
      <c r="F133" s="7">
        <v>401</v>
      </c>
      <c r="G133" t="s">
        <v>658</v>
      </c>
      <c r="H133" t="s">
        <v>659</v>
      </c>
    </row>
    <row r="134" spans="1:8" x14ac:dyDescent="0.3">
      <c r="A134" s="7" t="s">
        <v>882</v>
      </c>
      <c r="B134" t="s">
        <v>885</v>
      </c>
      <c r="C134" t="s">
        <v>867</v>
      </c>
      <c r="D134" s="8">
        <v>996000</v>
      </c>
      <c r="E134" s="9"/>
      <c r="F134" s="7">
        <v>402</v>
      </c>
      <c r="G134" t="s">
        <v>679</v>
      </c>
      <c r="H134" t="s">
        <v>659</v>
      </c>
    </row>
    <row r="135" spans="1:8" x14ac:dyDescent="0.3">
      <c r="A135" s="7" t="s">
        <v>882</v>
      </c>
      <c r="B135" t="s">
        <v>886</v>
      </c>
      <c r="C135" t="s">
        <v>811</v>
      </c>
      <c r="D135" s="8">
        <v>2370000</v>
      </c>
      <c r="E135" s="9"/>
      <c r="F135" s="7">
        <v>403</v>
      </c>
      <c r="G135" t="s">
        <v>658</v>
      </c>
      <c r="H135" t="s">
        <v>659</v>
      </c>
    </row>
    <row r="136" spans="1:8" x14ac:dyDescent="0.3">
      <c r="A136" s="7" t="s">
        <v>887</v>
      </c>
      <c r="B136" t="s">
        <v>888</v>
      </c>
      <c r="C136" t="s">
        <v>889</v>
      </c>
      <c r="D136" s="8">
        <v>10990000</v>
      </c>
      <c r="E136" s="9"/>
      <c r="F136" s="7">
        <v>404</v>
      </c>
      <c r="G136" t="s">
        <v>679</v>
      </c>
      <c r="H136" t="s">
        <v>659</v>
      </c>
    </row>
    <row r="137" spans="1:8" x14ac:dyDescent="0.3">
      <c r="A137" s="7" t="s">
        <v>887</v>
      </c>
      <c r="B137" t="s">
        <v>890</v>
      </c>
      <c r="C137" t="s">
        <v>707</v>
      </c>
      <c r="D137" s="8">
        <v>8640000</v>
      </c>
      <c r="E137" s="9"/>
      <c r="F137" s="7">
        <v>405</v>
      </c>
      <c r="G137" t="s">
        <v>679</v>
      </c>
      <c r="H137" t="s">
        <v>787</v>
      </c>
    </row>
    <row r="138" spans="1:8" x14ac:dyDescent="0.3">
      <c r="A138" s="7" t="s">
        <v>887</v>
      </c>
      <c r="B138" t="s">
        <v>776</v>
      </c>
      <c r="C138" t="s">
        <v>777</v>
      </c>
      <c r="D138" s="8">
        <v>498000</v>
      </c>
      <c r="E138" s="9"/>
      <c r="F138" s="7">
        <v>406</v>
      </c>
      <c r="G138" t="s">
        <v>679</v>
      </c>
      <c r="H138" t="s">
        <v>659</v>
      </c>
    </row>
    <row r="139" spans="1:8" x14ac:dyDescent="0.3">
      <c r="A139" s="7" t="s">
        <v>887</v>
      </c>
      <c r="B139" t="s">
        <v>728</v>
      </c>
      <c r="C139" t="s">
        <v>891</v>
      </c>
      <c r="D139" s="8">
        <v>200000</v>
      </c>
      <c r="E139" s="9"/>
      <c r="F139" s="7">
        <v>407</v>
      </c>
      <c r="G139" t="s">
        <v>679</v>
      </c>
      <c r="H139" t="s">
        <v>680</v>
      </c>
    </row>
    <row r="140" spans="1:8" x14ac:dyDescent="0.3">
      <c r="A140" s="7" t="s">
        <v>887</v>
      </c>
      <c r="B140" t="s">
        <v>892</v>
      </c>
      <c r="C140" t="s">
        <v>792</v>
      </c>
      <c r="D140" s="8">
        <v>1080000</v>
      </c>
      <c r="E140" s="9"/>
      <c r="F140" s="7">
        <v>408</v>
      </c>
      <c r="G140" t="s">
        <v>679</v>
      </c>
      <c r="H140" t="s">
        <v>659</v>
      </c>
    </row>
    <row r="141" spans="1:8" x14ac:dyDescent="0.3">
      <c r="A141" s="7" t="s">
        <v>887</v>
      </c>
      <c r="B141" t="s">
        <v>893</v>
      </c>
      <c r="C141" t="s">
        <v>761</v>
      </c>
      <c r="D141" s="8">
        <v>1130000</v>
      </c>
      <c r="E141" s="9"/>
      <c r="F141" s="7">
        <v>409</v>
      </c>
      <c r="G141" t="s">
        <v>679</v>
      </c>
      <c r="H141" t="s">
        <v>659</v>
      </c>
    </row>
    <row r="142" spans="1:8" x14ac:dyDescent="0.3">
      <c r="A142" s="7" t="s">
        <v>894</v>
      </c>
      <c r="B142" t="s">
        <v>691</v>
      </c>
      <c r="C142" t="s">
        <v>842</v>
      </c>
      <c r="D142" s="8">
        <v>790000</v>
      </c>
      <c r="E142" s="9"/>
      <c r="F142" s="7">
        <v>410</v>
      </c>
      <c r="G142" t="s">
        <v>679</v>
      </c>
      <c r="H142" t="s">
        <v>659</v>
      </c>
    </row>
    <row r="143" spans="1:8" x14ac:dyDescent="0.3">
      <c r="A143" s="10" t="s">
        <v>684</v>
      </c>
      <c r="B143" s="11" t="s">
        <v>685</v>
      </c>
      <c r="C143" s="11" t="s">
        <v>685</v>
      </c>
      <c r="D143" s="12"/>
      <c r="E143" s="13"/>
      <c r="F143" s="10">
        <v>411</v>
      </c>
    </row>
    <row r="144" spans="1:8" x14ac:dyDescent="0.3">
      <c r="A144" s="7" t="s">
        <v>895</v>
      </c>
      <c r="B144" t="s">
        <v>896</v>
      </c>
      <c r="C144" t="s">
        <v>897</v>
      </c>
      <c r="D144" s="8">
        <v>1500000</v>
      </c>
      <c r="E144" s="9"/>
      <c r="F144" s="7">
        <v>412</v>
      </c>
      <c r="G144" t="s">
        <v>658</v>
      </c>
      <c r="H144" t="s">
        <v>659</v>
      </c>
    </row>
    <row r="145" spans="1:8" x14ac:dyDescent="0.3">
      <c r="A145" s="7" t="s">
        <v>895</v>
      </c>
      <c r="B145" t="s">
        <v>898</v>
      </c>
      <c r="C145" t="s">
        <v>792</v>
      </c>
      <c r="D145" s="8">
        <v>1440000</v>
      </c>
      <c r="E145" s="9"/>
      <c r="F145" s="7">
        <v>413</v>
      </c>
      <c r="G145" t="s">
        <v>679</v>
      </c>
      <c r="H145" t="s">
        <v>659</v>
      </c>
    </row>
    <row r="146" spans="1:8" x14ac:dyDescent="0.3">
      <c r="A146" s="7" t="s">
        <v>899</v>
      </c>
      <c r="B146" t="s">
        <v>850</v>
      </c>
      <c r="C146" t="s">
        <v>900</v>
      </c>
      <c r="D146" s="8">
        <v>775000</v>
      </c>
      <c r="E146" s="9"/>
      <c r="F146" s="7">
        <v>414</v>
      </c>
      <c r="G146" t="s">
        <v>679</v>
      </c>
      <c r="H146" t="s">
        <v>659</v>
      </c>
    </row>
    <row r="147" spans="1:8" x14ac:dyDescent="0.3">
      <c r="A147" s="7" t="s">
        <v>899</v>
      </c>
      <c r="B147" t="s">
        <v>901</v>
      </c>
      <c r="C147" t="s">
        <v>902</v>
      </c>
      <c r="D147" s="8">
        <v>545000</v>
      </c>
      <c r="E147" s="9"/>
      <c r="F147" s="7">
        <v>415</v>
      </c>
      <c r="G147" t="s">
        <v>658</v>
      </c>
      <c r="H147" t="s">
        <v>659</v>
      </c>
    </row>
    <row r="148" spans="1:8" x14ac:dyDescent="0.3">
      <c r="A148" s="10" t="s">
        <v>684</v>
      </c>
      <c r="B148" s="11" t="s">
        <v>685</v>
      </c>
      <c r="C148" s="11" t="s">
        <v>685</v>
      </c>
      <c r="D148" s="12"/>
      <c r="E148" s="13"/>
      <c r="F148" s="10">
        <v>416</v>
      </c>
    </row>
    <row r="149" spans="1:8" x14ac:dyDescent="0.3">
      <c r="A149" s="7" t="s">
        <v>899</v>
      </c>
      <c r="B149" t="s">
        <v>903</v>
      </c>
      <c r="C149" t="s">
        <v>904</v>
      </c>
      <c r="D149" s="8">
        <v>56050000</v>
      </c>
      <c r="E149" s="9"/>
      <c r="F149" s="7">
        <v>417</v>
      </c>
      <c r="G149" t="s">
        <v>658</v>
      </c>
      <c r="H149" t="s">
        <v>787</v>
      </c>
    </row>
    <row r="150" spans="1:8" x14ac:dyDescent="0.3">
      <c r="A150" s="7" t="s">
        <v>905</v>
      </c>
      <c r="B150" t="s">
        <v>906</v>
      </c>
      <c r="C150" t="s">
        <v>907</v>
      </c>
      <c r="D150" s="8">
        <v>12000000</v>
      </c>
      <c r="E150" s="9"/>
      <c r="F150" s="7">
        <v>418</v>
      </c>
      <c r="G150" t="s">
        <v>679</v>
      </c>
      <c r="H150" t="s">
        <v>659</v>
      </c>
    </row>
    <row r="151" spans="1:8" x14ac:dyDescent="0.3">
      <c r="A151" s="7" t="s">
        <v>908</v>
      </c>
      <c r="B151" t="s">
        <v>725</v>
      </c>
      <c r="C151" t="s">
        <v>735</v>
      </c>
      <c r="D151" s="8">
        <v>3160000</v>
      </c>
      <c r="E151" s="9"/>
      <c r="F151" s="7">
        <v>419</v>
      </c>
      <c r="G151" t="s">
        <v>679</v>
      </c>
      <c r="H151" t="s">
        <v>659</v>
      </c>
    </row>
    <row r="152" spans="1:8" x14ac:dyDescent="0.3">
      <c r="A152" s="7" t="s">
        <v>908</v>
      </c>
      <c r="B152" t="s">
        <v>909</v>
      </c>
      <c r="C152" t="s">
        <v>661</v>
      </c>
      <c r="D152" s="8">
        <v>5292000</v>
      </c>
      <c r="E152" s="9"/>
      <c r="F152" s="7">
        <v>420</v>
      </c>
      <c r="G152" t="s">
        <v>658</v>
      </c>
      <c r="H152" t="s">
        <v>659</v>
      </c>
    </row>
    <row r="153" spans="1:8" x14ac:dyDescent="0.3">
      <c r="A153" s="7" t="s">
        <v>908</v>
      </c>
      <c r="B153" t="s">
        <v>903</v>
      </c>
      <c r="C153" t="s">
        <v>910</v>
      </c>
      <c r="D153" s="8">
        <v>50500000</v>
      </c>
      <c r="E153" s="9"/>
      <c r="F153" s="7">
        <v>421</v>
      </c>
      <c r="G153" t="s">
        <v>679</v>
      </c>
      <c r="H153" t="s">
        <v>659</v>
      </c>
    </row>
    <row r="154" spans="1:8" x14ac:dyDescent="0.3">
      <c r="A154" s="7" t="s">
        <v>911</v>
      </c>
      <c r="B154" t="s">
        <v>912</v>
      </c>
      <c r="C154" t="s">
        <v>913</v>
      </c>
      <c r="D154" s="8">
        <v>5000000</v>
      </c>
      <c r="E154" s="9"/>
      <c r="F154" s="7">
        <v>422</v>
      </c>
      <c r="G154" t="s">
        <v>679</v>
      </c>
      <c r="H154" t="s">
        <v>914</v>
      </c>
    </row>
    <row r="155" spans="1:8" x14ac:dyDescent="0.3">
      <c r="A155" s="7" t="s">
        <v>915</v>
      </c>
      <c r="B155" t="s">
        <v>916</v>
      </c>
      <c r="C155" t="s">
        <v>880</v>
      </c>
      <c r="D155" s="8">
        <v>65300000</v>
      </c>
      <c r="E155" s="9"/>
      <c r="F155" s="7">
        <v>423</v>
      </c>
      <c r="G155" t="s">
        <v>658</v>
      </c>
      <c r="H155" t="s">
        <v>680</v>
      </c>
    </row>
    <row r="156" spans="1:8" x14ac:dyDescent="0.3">
      <c r="A156" s="7" t="s">
        <v>915</v>
      </c>
      <c r="B156" t="s">
        <v>917</v>
      </c>
      <c r="C156" t="s">
        <v>902</v>
      </c>
      <c r="D156" s="8">
        <v>1090000</v>
      </c>
      <c r="E156" s="9"/>
      <c r="F156" s="7">
        <v>424</v>
      </c>
      <c r="G156" t="s">
        <v>658</v>
      </c>
      <c r="H156" t="s">
        <v>659</v>
      </c>
    </row>
    <row r="157" spans="1:8" x14ac:dyDescent="0.3">
      <c r="A157" s="7" t="s">
        <v>915</v>
      </c>
      <c r="B157" t="s">
        <v>918</v>
      </c>
      <c r="C157" t="s">
        <v>792</v>
      </c>
      <c r="D157" s="8">
        <v>1080000</v>
      </c>
      <c r="E157" s="9"/>
      <c r="F157" s="7">
        <v>425</v>
      </c>
      <c r="G157" t="s">
        <v>679</v>
      </c>
      <c r="H157" t="s">
        <v>659</v>
      </c>
    </row>
    <row r="158" spans="1:8" x14ac:dyDescent="0.3">
      <c r="A158" s="10" t="s">
        <v>684</v>
      </c>
      <c r="B158" s="11" t="s">
        <v>685</v>
      </c>
      <c r="C158" s="11" t="s">
        <v>685</v>
      </c>
      <c r="D158" s="12"/>
      <c r="E158" s="13"/>
      <c r="F158" s="10">
        <v>426</v>
      </c>
    </row>
    <row r="159" spans="1:8" x14ac:dyDescent="0.3">
      <c r="A159" s="7" t="s">
        <v>915</v>
      </c>
      <c r="B159" t="s">
        <v>919</v>
      </c>
      <c r="C159" t="s">
        <v>672</v>
      </c>
      <c r="D159" s="8">
        <v>5960500</v>
      </c>
      <c r="E159" s="9"/>
      <c r="F159" s="7">
        <v>427</v>
      </c>
      <c r="G159" t="s">
        <v>658</v>
      </c>
      <c r="H159" t="s">
        <v>659</v>
      </c>
    </row>
    <row r="160" spans="1:8" x14ac:dyDescent="0.3">
      <c r="A160" s="7" t="s">
        <v>920</v>
      </c>
      <c r="B160" t="s">
        <v>921</v>
      </c>
      <c r="C160" t="s">
        <v>922</v>
      </c>
      <c r="D160" s="8">
        <v>67290000</v>
      </c>
      <c r="E160" s="9"/>
      <c r="F160" s="7">
        <v>428</v>
      </c>
      <c r="G160" t="s">
        <v>679</v>
      </c>
      <c r="H160" t="s">
        <v>680</v>
      </c>
    </row>
    <row r="161" spans="1:8" x14ac:dyDescent="0.3">
      <c r="A161" s="7" t="s">
        <v>920</v>
      </c>
      <c r="B161" t="s">
        <v>923</v>
      </c>
      <c r="C161" t="s">
        <v>924</v>
      </c>
      <c r="D161" s="8">
        <v>4740000</v>
      </c>
      <c r="E161" s="9"/>
      <c r="F161" s="7">
        <v>429</v>
      </c>
      <c r="G161" t="s">
        <v>658</v>
      </c>
      <c r="H161" t="s">
        <v>659</v>
      </c>
    </row>
    <row r="162" spans="1:8" x14ac:dyDescent="0.3">
      <c r="A162" s="7" t="s">
        <v>920</v>
      </c>
      <c r="B162" t="s">
        <v>828</v>
      </c>
      <c r="C162" t="s">
        <v>902</v>
      </c>
      <c r="D162" s="8">
        <v>1090000</v>
      </c>
      <c r="E162" s="9"/>
      <c r="F162" s="7">
        <v>430</v>
      </c>
      <c r="G162" t="s">
        <v>679</v>
      </c>
      <c r="H162" t="s">
        <v>659</v>
      </c>
    </row>
    <row r="163" spans="1:8" x14ac:dyDescent="0.3">
      <c r="A163" s="7" t="s">
        <v>920</v>
      </c>
      <c r="B163" t="s">
        <v>903</v>
      </c>
      <c r="C163" t="s">
        <v>925</v>
      </c>
      <c r="D163" s="8">
        <v>53150000</v>
      </c>
      <c r="E163" s="9"/>
      <c r="F163" s="7">
        <v>431</v>
      </c>
      <c r="G163" t="s">
        <v>658</v>
      </c>
      <c r="H163" t="s">
        <v>926</v>
      </c>
    </row>
    <row r="164" spans="1:8" x14ac:dyDescent="0.3">
      <c r="A164" s="7" t="s">
        <v>920</v>
      </c>
      <c r="B164" t="s">
        <v>927</v>
      </c>
      <c r="C164" t="s">
        <v>928</v>
      </c>
      <c r="D164" s="8">
        <v>220000</v>
      </c>
      <c r="E164" s="9"/>
      <c r="F164" s="7">
        <v>432</v>
      </c>
      <c r="G164" t="s">
        <v>679</v>
      </c>
      <c r="H164" t="s">
        <v>659</v>
      </c>
    </row>
    <row r="165" spans="1:8" x14ac:dyDescent="0.3">
      <c r="A165" s="7" t="s">
        <v>920</v>
      </c>
      <c r="B165" t="s">
        <v>929</v>
      </c>
      <c r="C165" t="s">
        <v>930</v>
      </c>
      <c r="D165" s="8">
        <v>590000</v>
      </c>
      <c r="E165" s="9"/>
      <c r="F165" s="7">
        <v>433</v>
      </c>
      <c r="G165" t="s">
        <v>679</v>
      </c>
      <c r="H165" t="s">
        <v>931</v>
      </c>
    </row>
    <row r="166" spans="1:8" x14ac:dyDescent="0.3">
      <c r="A166" s="7" t="s">
        <v>932</v>
      </c>
      <c r="B166" t="s">
        <v>691</v>
      </c>
      <c r="C166" t="s">
        <v>704</v>
      </c>
      <c r="D166" s="8">
        <v>939000</v>
      </c>
      <c r="E166" s="9"/>
      <c r="F166" s="7">
        <v>434</v>
      </c>
      <c r="G166" t="s">
        <v>658</v>
      </c>
      <c r="H166" t="s">
        <v>659</v>
      </c>
    </row>
    <row r="167" spans="1:8" x14ac:dyDescent="0.3">
      <c r="A167" s="7" t="s">
        <v>932</v>
      </c>
      <c r="B167" t="s">
        <v>933</v>
      </c>
      <c r="C167" t="s">
        <v>657</v>
      </c>
      <c r="D167" s="8">
        <v>1970000</v>
      </c>
      <c r="E167" s="9"/>
      <c r="F167" s="7">
        <v>435</v>
      </c>
      <c r="G167" t="s">
        <v>658</v>
      </c>
      <c r="H167" t="s">
        <v>659</v>
      </c>
    </row>
    <row r="168" spans="1:8" x14ac:dyDescent="0.3">
      <c r="A168" s="7" t="s">
        <v>932</v>
      </c>
      <c r="B168" t="s">
        <v>934</v>
      </c>
      <c r="C168" t="s">
        <v>707</v>
      </c>
      <c r="D168" s="8">
        <v>7560000</v>
      </c>
      <c r="E168" s="9"/>
      <c r="F168" s="7">
        <v>436</v>
      </c>
      <c r="G168" t="s">
        <v>679</v>
      </c>
      <c r="H168" t="s">
        <v>926</v>
      </c>
    </row>
    <row r="169" spans="1:8" x14ac:dyDescent="0.3">
      <c r="A169" s="7" t="s">
        <v>932</v>
      </c>
      <c r="B169" t="s">
        <v>853</v>
      </c>
      <c r="C169" t="s">
        <v>935</v>
      </c>
      <c r="D169" s="8">
        <v>6590000</v>
      </c>
      <c r="E169" s="9"/>
      <c r="F169" s="7">
        <v>437</v>
      </c>
      <c r="G169" t="s">
        <v>679</v>
      </c>
      <c r="H169" t="s">
        <v>931</v>
      </c>
    </row>
    <row r="170" spans="1:8" x14ac:dyDescent="0.3">
      <c r="A170" s="10" t="s">
        <v>684</v>
      </c>
      <c r="B170" s="11" t="s">
        <v>685</v>
      </c>
      <c r="C170" s="11" t="s">
        <v>685</v>
      </c>
      <c r="D170" s="12"/>
      <c r="E170" s="13"/>
      <c r="F170" s="10">
        <v>438</v>
      </c>
    </row>
    <row r="171" spans="1:8" x14ac:dyDescent="0.3">
      <c r="A171" s="7" t="s">
        <v>936</v>
      </c>
      <c r="B171" t="s">
        <v>937</v>
      </c>
      <c r="C171" t="s">
        <v>938</v>
      </c>
      <c r="D171" s="8">
        <v>25000000</v>
      </c>
      <c r="E171" s="9"/>
      <c r="F171" s="7">
        <v>439</v>
      </c>
      <c r="G171" t="s">
        <v>679</v>
      </c>
      <c r="H171" t="s">
        <v>680</v>
      </c>
    </row>
    <row r="172" spans="1:8" x14ac:dyDescent="0.3">
      <c r="A172" s="10" t="s">
        <v>684</v>
      </c>
      <c r="B172" s="11" t="s">
        <v>685</v>
      </c>
      <c r="C172" s="11" t="s">
        <v>685</v>
      </c>
      <c r="D172" s="12"/>
      <c r="E172" s="13"/>
      <c r="F172" s="10">
        <v>440</v>
      </c>
    </row>
    <row r="173" spans="1:8" x14ac:dyDescent="0.3">
      <c r="A173" s="7" t="s">
        <v>936</v>
      </c>
      <c r="B173" t="s">
        <v>939</v>
      </c>
      <c r="C173" t="s">
        <v>657</v>
      </c>
      <c r="D173" s="8">
        <v>985000</v>
      </c>
      <c r="E173" s="9"/>
      <c r="F173" s="7">
        <v>441</v>
      </c>
      <c r="G173" t="s">
        <v>658</v>
      </c>
      <c r="H173" t="s">
        <v>659</v>
      </c>
    </row>
    <row r="174" spans="1:8" x14ac:dyDescent="0.3">
      <c r="A174" s="10" t="s">
        <v>684</v>
      </c>
      <c r="B174" s="11" t="s">
        <v>685</v>
      </c>
      <c r="C174" s="11" t="s">
        <v>685</v>
      </c>
      <c r="D174" s="12"/>
      <c r="E174" s="13"/>
      <c r="F174" s="10">
        <v>442</v>
      </c>
    </row>
    <row r="175" spans="1:8" x14ac:dyDescent="0.3">
      <c r="A175" s="7" t="s">
        <v>940</v>
      </c>
      <c r="B175" t="s">
        <v>941</v>
      </c>
      <c r="C175" t="s">
        <v>942</v>
      </c>
      <c r="D175" s="8">
        <v>4800000</v>
      </c>
      <c r="E175" s="9"/>
      <c r="F175" s="7">
        <v>443</v>
      </c>
      <c r="G175" t="s">
        <v>679</v>
      </c>
      <c r="H175" t="s">
        <v>659</v>
      </c>
    </row>
    <row r="176" spans="1:8" x14ac:dyDescent="0.3">
      <c r="A176" s="7" t="s">
        <v>940</v>
      </c>
      <c r="B176" t="s">
        <v>943</v>
      </c>
      <c r="C176" t="s">
        <v>696</v>
      </c>
      <c r="D176" s="8">
        <v>1440000</v>
      </c>
      <c r="E176" s="9"/>
      <c r="F176" s="7">
        <v>444</v>
      </c>
      <c r="G176" t="s">
        <v>658</v>
      </c>
      <c r="H176" t="s">
        <v>659</v>
      </c>
    </row>
    <row r="177" spans="1:8" x14ac:dyDescent="0.3">
      <c r="A177" s="7" t="s">
        <v>944</v>
      </c>
      <c r="B177" t="s">
        <v>945</v>
      </c>
      <c r="C177" t="s">
        <v>946</v>
      </c>
      <c r="D177" s="8">
        <v>990000</v>
      </c>
      <c r="E177" s="9"/>
      <c r="F177" s="7">
        <v>445</v>
      </c>
      <c r="G177" t="s">
        <v>679</v>
      </c>
      <c r="H177" t="s">
        <v>659</v>
      </c>
    </row>
    <row r="178" spans="1:8" x14ac:dyDescent="0.3">
      <c r="A178" s="7" t="s">
        <v>944</v>
      </c>
      <c r="B178" t="s">
        <v>947</v>
      </c>
      <c r="C178" t="s">
        <v>735</v>
      </c>
      <c r="D178" s="8">
        <v>2370000</v>
      </c>
      <c r="E178" s="9"/>
      <c r="F178" s="7">
        <v>446</v>
      </c>
      <c r="G178" t="s">
        <v>679</v>
      </c>
      <c r="H178" t="s">
        <v>659</v>
      </c>
    </row>
    <row r="179" spans="1:8" x14ac:dyDescent="0.3">
      <c r="A179" s="7" t="s">
        <v>948</v>
      </c>
      <c r="B179" t="s">
        <v>949</v>
      </c>
      <c r="C179" t="s">
        <v>672</v>
      </c>
      <c r="D179" s="8">
        <v>2957500</v>
      </c>
      <c r="E179" s="9"/>
      <c r="F179" s="7">
        <v>447</v>
      </c>
      <c r="G179" t="s">
        <v>658</v>
      </c>
      <c r="H179" t="s">
        <v>659</v>
      </c>
    </row>
    <row r="180" spans="1:8" x14ac:dyDescent="0.3">
      <c r="A180" s="7" t="s">
        <v>948</v>
      </c>
      <c r="B180" t="s">
        <v>950</v>
      </c>
      <c r="C180" t="s">
        <v>951</v>
      </c>
      <c r="D180" s="8">
        <v>1960000</v>
      </c>
      <c r="E180" s="9"/>
      <c r="F180" s="7">
        <v>448</v>
      </c>
      <c r="G180" t="s">
        <v>679</v>
      </c>
      <c r="H180" t="s">
        <v>659</v>
      </c>
    </row>
    <row r="181" spans="1:8" x14ac:dyDescent="0.3">
      <c r="A181" s="7" t="s">
        <v>948</v>
      </c>
      <c r="B181" t="s">
        <v>952</v>
      </c>
      <c r="C181" t="s">
        <v>665</v>
      </c>
      <c r="D181" s="8"/>
      <c r="E181" s="9">
        <v>1808</v>
      </c>
      <c r="F181" s="7">
        <v>449</v>
      </c>
      <c r="G181" t="s">
        <v>658</v>
      </c>
      <c r="H181" t="s">
        <v>659</v>
      </c>
    </row>
    <row r="182" spans="1:8" x14ac:dyDescent="0.3">
      <c r="A182" s="7" t="s">
        <v>948</v>
      </c>
      <c r="B182" t="s">
        <v>901</v>
      </c>
      <c r="C182" t="s">
        <v>953</v>
      </c>
      <c r="D182" s="8">
        <v>550000</v>
      </c>
      <c r="E182" s="9"/>
      <c r="F182" s="7">
        <v>450</v>
      </c>
      <c r="G182" t="s">
        <v>679</v>
      </c>
      <c r="H182" t="s">
        <v>659</v>
      </c>
    </row>
    <row r="183" spans="1:8" x14ac:dyDescent="0.3">
      <c r="A183" s="7" t="s">
        <v>948</v>
      </c>
      <c r="B183" t="s">
        <v>954</v>
      </c>
      <c r="C183" t="s">
        <v>955</v>
      </c>
      <c r="D183" s="8">
        <v>6600000</v>
      </c>
      <c r="E183" s="9"/>
      <c r="F183" s="7">
        <v>451</v>
      </c>
      <c r="G183" t="s">
        <v>679</v>
      </c>
      <c r="H183" t="s">
        <v>659</v>
      </c>
    </row>
    <row r="184" spans="1:8" x14ac:dyDescent="0.3">
      <c r="A184" s="7" t="s">
        <v>956</v>
      </c>
      <c r="B184" t="s">
        <v>901</v>
      </c>
      <c r="C184" t="s">
        <v>957</v>
      </c>
      <c r="D184" s="8">
        <v>550000</v>
      </c>
      <c r="E184" s="9"/>
      <c r="F184" s="7">
        <v>452</v>
      </c>
      <c r="G184" t="s">
        <v>679</v>
      </c>
      <c r="H184" t="s">
        <v>659</v>
      </c>
    </row>
    <row r="185" spans="1:8" x14ac:dyDescent="0.3">
      <c r="A185" s="7" t="s">
        <v>956</v>
      </c>
      <c r="B185" t="s">
        <v>958</v>
      </c>
      <c r="C185" t="s">
        <v>891</v>
      </c>
      <c r="D185" s="8">
        <v>220000</v>
      </c>
      <c r="E185" s="9"/>
      <c r="F185" s="7">
        <v>453</v>
      </c>
      <c r="G185" t="s">
        <v>679</v>
      </c>
      <c r="H185" t="s">
        <v>659</v>
      </c>
    </row>
    <row r="186" spans="1:8" x14ac:dyDescent="0.3">
      <c r="A186" s="7" t="s">
        <v>956</v>
      </c>
      <c r="B186" t="s">
        <v>959</v>
      </c>
      <c r="C186" t="s">
        <v>672</v>
      </c>
      <c r="D186" s="8">
        <v>5920000</v>
      </c>
      <c r="E186" s="9"/>
      <c r="F186" s="7">
        <v>454</v>
      </c>
      <c r="G186" t="s">
        <v>658</v>
      </c>
      <c r="H186" t="s">
        <v>659</v>
      </c>
    </row>
    <row r="187" spans="1:8" x14ac:dyDescent="0.3">
      <c r="A187" s="7" t="s">
        <v>956</v>
      </c>
      <c r="B187" t="s">
        <v>960</v>
      </c>
      <c r="C187" t="s">
        <v>942</v>
      </c>
      <c r="D187" s="8">
        <v>540000</v>
      </c>
      <c r="E187" s="9"/>
      <c r="F187" s="7">
        <v>455</v>
      </c>
      <c r="G187" t="s">
        <v>679</v>
      </c>
      <c r="H187" t="s">
        <v>659</v>
      </c>
    </row>
    <row r="188" spans="1:8" x14ac:dyDescent="0.3">
      <c r="A188" s="7" t="s">
        <v>956</v>
      </c>
      <c r="B188" t="s">
        <v>961</v>
      </c>
      <c r="C188" t="s">
        <v>938</v>
      </c>
      <c r="D188" s="8">
        <v>25500000</v>
      </c>
      <c r="E188" s="9"/>
      <c r="F188" s="7">
        <v>456</v>
      </c>
      <c r="G188" t="s">
        <v>679</v>
      </c>
      <c r="H188" t="s">
        <v>659</v>
      </c>
    </row>
    <row r="189" spans="1:8" x14ac:dyDescent="0.3">
      <c r="A189" s="7" t="s">
        <v>962</v>
      </c>
      <c r="B189" t="s">
        <v>691</v>
      </c>
      <c r="C189" t="s">
        <v>963</v>
      </c>
      <c r="D189" s="8">
        <v>990000</v>
      </c>
      <c r="E189" s="9"/>
      <c r="F189" s="7">
        <v>457</v>
      </c>
      <c r="G189" t="s">
        <v>679</v>
      </c>
      <c r="H189" t="s">
        <v>659</v>
      </c>
    </row>
    <row r="190" spans="1:8" x14ac:dyDescent="0.3">
      <c r="A190" s="7" t="s">
        <v>962</v>
      </c>
      <c r="B190" t="s">
        <v>964</v>
      </c>
      <c r="C190" t="s">
        <v>965</v>
      </c>
      <c r="D190" s="8">
        <v>1650000</v>
      </c>
      <c r="E190" s="9"/>
      <c r="F190" s="7">
        <v>458</v>
      </c>
      <c r="G190" t="s">
        <v>679</v>
      </c>
      <c r="H190" t="s">
        <v>659</v>
      </c>
    </row>
    <row r="191" spans="1:8" x14ac:dyDescent="0.3">
      <c r="A191" s="7" t="s">
        <v>962</v>
      </c>
      <c r="B191" t="s">
        <v>966</v>
      </c>
      <c r="C191" t="s">
        <v>953</v>
      </c>
      <c r="D191" s="8">
        <v>2200000</v>
      </c>
      <c r="E191" s="9"/>
      <c r="F191" s="7">
        <v>459</v>
      </c>
      <c r="G191" t="s">
        <v>679</v>
      </c>
      <c r="H191" t="s">
        <v>659</v>
      </c>
    </row>
    <row r="192" spans="1:8" x14ac:dyDescent="0.3">
      <c r="A192" s="7" t="s">
        <v>962</v>
      </c>
      <c r="B192" t="s">
        <v>967</v>
      </c>
      <c r="C192" t="s">
        <v>968</v>
      </c>
      <c r="D192" s="8">
        <v>1580000</v>
      </c>
      <c r="E192" s="9"/>
      <c r="F192" s="7">
        <v>460</v>
      </c>
      <c r="G192" t="s">
        <v>658</v>
      </c>
      <c r="H192" t="s">
        <v>659</v>
      </c>
    </row>
    <row r="193" spans="1:8" x14ac:dyDescent="0.3">
      <c r="A193" s="7" t="s">
        <v>969</v>
      </c>
      <c r="B193" t="s">
        <v>903</v>
      </c>
      <c r="C193" t="s">
        <v>970</v>
      </c>
      <c r="D193" s="8">
        <v>50500000</v>
      </c>
      <c r="E193" s="9"/>
      <c r="F193" s="7">
        <v>461</v>
      </c>
      <c r="G193" t="s">
        <v>658</v>
      </c>
      <c r="H193" t="s">
        <v>787</v>
      </c>
    </row>
    <row r="194" spans="1:8" x14ac:dyDescent="0.3">
      <c r="A194" s="7" t="s">
        <v>969</v>
      </c>
      <c r="B194" t="s">
        <v>728</v>
      </c>
      <c r="C194" t="s">
        <v>971</v>
      </c>
      <c r="D194" s="8">
        <v>199000</v>
      </c>
      <c r="E194" s="9"/>
      <c r="F194" s="7">
        <v>462</v>
      </c>
      <c r="G194" t="s">
        <v>679</v>
      </c>
      <c r="H194" t="s">
        <v>659</v>
      </c>
    </row>
    <row r="195" spans="1:8" x14ac:dyDescent="0.3">
      <c r="A195" s="7" t="s">
        <v>969</v>
      </c>
      <c r="B195" t="s">
        <v>972</v>
      </c>
      <c r="C195" t="s">
        <v>735</v>
      </c>
      <c r="D195" s="8">
        <v>1580000</v>
      </c>
      <c r="E195" s="9"/>
      <c r="F195" s="7">
        <v>463</v>
      </c>
      <c r="G195" t="s">
        <v>679</v>
      </c>
      <c r="H195" t="s">
        <v>659</v>
      </c>
    </row>
    <row r="196" spans="1:8" x14ac:dyDescent="0.3">
      <c r="A196" s="7" t="s">
        <v>969</v>
      </c>
      <c r="B196" t="s">
        <v>973</v>
      </c>
      <c r="C196" t="s">
        <v>974</v>
      </c>
      <c r="D196" s="8">
        <v>419000</v>
      </c>
      <c r="E196" s="9"/>
      <c r="F196" s="7">
        <v>464</v>
      </c>
      <c r="G196" t="s">
        <v>679</v>
      </c>
      <c r="H196" t="s">
        <v>659</v>
      </c>
    </row>
    <row r="197" spans="1:8" x14ac:dyDescent="0.3">
      <c r="A197" s="7" t="s">
        <v>969</v>
      </c>
      <c r="B197" t="s">
        <v>975</v>
      </c>
      <c r="C197" t="s">
        <v>976</v>
      </c>
      <c r="D197" s="8">
        <v>8980000</v>
      </c>
      <c r="E197" s="9"/>
      <c r="F197" s="7">
        <v>465</v>
      </c>
      <c r="G197" t="s">
        <v>679</v>
      </c>
      <c r="H197" t="s">
        <v>659</v>
      </c>
    </row>
    <row r="198" spans="1:8" x14ac:dyDescent="0.3">
      <c r="A198" s="7" t="s">
        <v>969</v>
      </c>
      <c r="B198" t="s">
        <v>710</v>
      </c>
      <c r="C198" t="s">
        <v>977</v>
      </c>
      <c r="D198" s="8">
        <v>2890000</v>
      </c>
      <c r="E198" s="9"/>
      <c r="F198" s="7">
        <v>466</v>
      </c>
      <c r="G198" t="s">
        <v>679</v>
      </c>
      <c r="H198" t="s">
        <v>659</v>
      </c>
    </row>
    <row r="199" spans="1:8" x14ac:dyDescent="0.3">
      <c r="A199" s="7" t="s">
        <v>969</v>
      </c>
      <c r="B199" t="s">
        <v>794</v>
      </c>
      <c r="C199" t="s">
        <v>978</v>
      </c>
      <c r="D199" s="8">
        <v>3120000</v>
      </c>
      <c r="E199" s="9"/>
      <c r="F199" s="7">
        <v>467</v>
      </c>
      <c r="G199" t="s">
        <v>658</v>
      </c>
      <c r="H199" t="s">
        <v>659</v>
      </c>
    </row>
    <row r="200" spans="1:8" x14ac:dyDescent="0.3">
      <c r="A200" s="7" t="s">
        <v>979</v>
      </c>
      <c r="B200" t="s">
        <v>980</v>
      </c>
      <c r="C200" t="s">
        <v>981</v>
      </c>
      <c r="D200" s="8">
        <v>1590000</v>
      </c>
      <c r="E200" s="9"/>
      <c r="F200" s="7">
        <v>468</v>
      </c>
      <c r="G200" t="s">
        <v>679</v>
      </c>
      <c r="H200" t="s">
        <v>659</v>
      </c>
    </row>
    <row r="201" spans="1:8" x14ac:dyDescent="0.3">
      <c r="A201" s="10" t="s">
        <v>684</v>
      </c>
      <c r="B201" s="11" t="s">
        <v>685</v>
      </c>
      <c r="C201" s="11" t="s">
        <v>685</v>
      </c>
      <c r="D201" s="12"/>
      <c r="E201" s="13"/>
      <c r="F201" s="10">
        <v>469</v>
      </c>
    </row>
    <row r="202" spans="1:8" x14ac:dyDescent="0.3">
      <c r="A202" s="7" t="s">
        <v>979</v>
      </c>
      <c r="B202" t="s">
        <v>982</v>
      </c>
      <c r="C202" t="s">
        <v>661</v>
      </c>
      <c r="D202" s="8">
        <v>14122000</v>
      </c>
      <c r="E202" s="9"/>
      <c r="F202" s="7">
        <v>470</v>
      </c>
      <c r="G202" t="s">
        <v>658</v>
      </c>
      <c r="H202" t="s">
        <v>926</v>
      </c>
    </row>
    <row r="203" spans="1:8" x14ac:dyDescent="0.3">
      <c r="A203" s="7" t="s">
        <v>983</v>
      </c>
      <c r="B203" t="s">
        <v>984</v>
      </c>
      <c r="C203" t="s">
        <v>985</v>
      </c>
      <c r="D203" s="8"/>
      <c r="E203" s="9">
        <v>1400</v>
      </c>
      <c r="F203" s="7">
        <v>471</v>
      </c>
    </row>
    <row r="204" spans="1:8" x14ac:dyDescent="0.3">
      <c r="A204" s="10" t="s">
        <v>684</v>
      </c>
      <c r="B204" s="11" t="s">
        <v>685</v>
      </c>
      <c r="C204" s="11" t="s">
        <v>685</v>
      </c>
      <c r="D204" s="12"/>
      <c r="E204" s="13"/>
      <c r="F204" s="10">
        <v>472</v>
      </c>
    </row>
    <row r="205" spans="1:8" x14ac:dyDescent="0.3">
      <c r="A205" s="7" t="s">
        <v>983</v>
      </c>
      <c r="B205" t="s">
        <v>986</v>
      </c>
      <c r="C205" t="s">
        <v>871</v>
      </c>
      <c r="D205" s="8">
        <v>580000</v>
      </c>
      <c r="E205" s="9"/>
      <c r="F205" s="7">
        <v>473</v>
      </c>
      <c r="G205" t="s">
        <v>679</v>
      </c>
      <c r="H205" t="s">
        <v>659</v>
      </c>
    </row>
    <row r="206" spans="1:8" x14ac:dyDescent="0.3">
      <c r="A206" s="7" t="s">
        <v>983</v>
      </c>
      <c r="B206" t="s">
        <v>987</v>
      </c>
      <c r="C206" t="s">
        <v>696</v>
      </c>
      <c r="D206" s="8">
        <v>2880000</v>
      </c>
      <c r="E206" s="9"/>
      <c r="F206" s="7">
        <v>474</v>
      </c>
      <c r="G206" t="s">
        <v>658</v>
      </c>
      <c r="H206" t="s">
        <v>659</v>
      </c>
    </row>
    <row r="207" spans="1:8" x14ac:dyDescent="0.3">
      <c r="A207" s="7" t="s">
        <v>983</v>
      </c>
      <c r="B207" t="s">
        <v>893</v>
      </c>
      <c r="C207" t="s">
        <v>761</v>
      </c>
      <c r="D207" s="8">
        <v>1130000</v>
      </c>
      <c r="E207" s="9"/>
      <c r="F207" s="7">
        <v>475</v>
      </c>
      <c r="G207" t="s">
        <v>679</v>
      </c>
      <c r="H207" t="s">
        <v>659</v>
      </c>
    </row>
    <row r="208" spans="1:8" x14ac:dyDescent="0.3">
      <c r="A208" s="7" t="s">
        <v>983</v>
      </c>
      <c r="B208" t="s">
        <v>988</v>
      </c>
      <c r="C208" t="s">
        <v>989</v>
      </c>
      <c r="D208" s="8">
        <v>50500000</v>
      </c>
      <c r="E208" s="9"/>
      <c r="F208" s="7">
        <v>476</v>
      </c>
      <c r="G208" t="s">
        <v>679</v>
      </c>
      <c r="H208" t="s">
        <v>659</v>
      </c>
    </row>
    <row r="209" spans="1:8" x14ac:dyDescent="0.3">
      <c r="A209" s="7" t="s">
        <v>990</v>
      </c>
      <c r="B209" t="s">
        <v>991</v>
      </c>
      <c r="C209" t="s">
        <v>992</v>
      </c>
      <c r="D209" s="8">
        <v>65800000</v>
      </c>
      <c r="E209" s="9"/>
      <c r="F209" s="7">
        <v>477</v>
      </c>
      <c r="G209" t="s">
        <v>679</v>
      </c>
      <c r="H209" t="s">
        <v>659</v>
      </c>
    </row>
    <row r="210" spans="1:8" x14ac:dyDescent="0.3">
      <c r="A210" s="7" t="s">
        <v>990</v>
      </c>
      <c r="B210" t="s">
        <v>993</v>
      </c>
      <c r="C210" t="s">
        <v>942</v>
      </c>
      <c r="D210" s="8">
        <v>1080000</v>
      </c>
      <c r="E210" s="9"/>
      <c r="F210" s="7">
        <v>478</v>
      </c>
      <c r="G210" t="s">
        <v>679</v>
      </c>
      <c r="H210" t="s">
        <v>659</v>
      </c>
    </row>
    <row r="211" spans="1:8" x14ac:dyDescent="0.3">
      <c r="A211" s="10" t="s">
        <v>684</v>
      </c>
      <c r="B211" s="11" t="s">
        <v>685</v>
      </c>
      <c r="C211" s="11" t="s">
        <v>685</v>
      </c>
      <c r="D211" s="12"/>
      <c r="E211" s="13"/>
      <c r="F211" s="10">
        <v>479</v>
      </c>
    </row>
    <row r="212" spans="1:8" x14ac:dyDescent="0.3">
      <c r="A212" s="7" t="s">
        <v>994</v>
      </c>
      <c r="B212" t="s">
        <v>995</v>
      </c>
      <c r="C212" t="s">
        <v>674</v>
      </c>
      <c r="D212" s="8">
        <v>1970000</v>
      </c>
      <c r="E212" s="9"/>
      <c r="F212" s="7">
        <v>480</v>
      </c>
      <c r="G212" t="s">
        <v>658</v>
      </c>
      <c r="H212" t="s">
        <v>659</v>
      </c>
    </row>
    <row r="213" spans="1:8" x14ac:dyDescent="0.3">
      <c r="A213" s="7" t="s">
        <v>994</v>
      </c>
      <c r="B213" t="s">
        <v>996</v>
      </c>
      <c r="C213" t="s">
        <v>665</v>
      </c>
      <c r="D213" s="8"/>
      <c r="E213" s="9">
        <v>4972</v>
      </c>
      <c r="F213" s="7">
        <v>481</v>
      </c>
      <c r="G213" t="s">
        <v>658</v>
      </c>
      <c r="H213" t="s">
        <v>659</v>
      </c>
    </row>
    <row r="214" spans="1:8" x14ac:dyDescent="0.3">
      <c r="A214" s="7" t="s">
        <v>994</v>
      </c>
      <c r="B214" t="s">
        <v>949</v>
      </c>
      <c r="C214" t="s">
        <v>672</v>
      </c>
      <c r="D214" s="8">
        <v>2934750</v>
      </c>
      <c r="E214" s="9"/>
      <c r="F214" s="7">
        <v>482</v>
      </c>
      <c r="G214" t="s">
        <v>658</v>
      </c>
      <c r="H214" t="s">
        <v>659</v>
      </c>
    </row>
    <row r="215" spans="1:8" x14ac:dyDescent="0.3">
      <c r="A215" s="7" t="s">
        <v>994</v>
      </c>
      <c r="B215" t="s">
        <v>997</v>
      </c>
      <c r="C215" t="s">
        <v>757</v>
      </c>
      <c r="D215" s="8">
        <v>395000</v>
      </c>
      <c r="E215" s="9"/>
      <c r="F215" s="7">
        <v>483</v>
      </c>
      <c r="G215" t="s">
        <v>679</v>
      </c>
      <c r="H215" t="s">
        <v>659</v>
      </c>
    </row>
    <row r="216" spans="1:8" x14ac:dyDescent="0.3">
      <c r="A216" s="7" t="s">
        <v>998</v>
      </c>
      <c r="B216" t="s">
        <v>794</v>
      </c>
      <c r="C216" t="s">
        <v>815</v>
      </c>
      <c r="D216" s="8">
        <v>3960000</v>
      </c>
      <c r="E216" s="9"/>
      <c r="F216" s="7">
        <v>484</v>
      </c>
      <c r="G216" t="s">
        <v>679</v>
      </c>
      <c r="H216" t="s">
        <v>659</v>
      </c>
    </row>
    <row r="217" spans="1:8" x14ac:dyDescent="0.3">
      <c r="A217" s="10" t="s">
        <v>684</v>
      </c>
      <c r="B217" s="11" t="s">
        <v>685</v>
      </c>
      <c r="C217" s="11" t="s">
        <v>685</v>
      </c>
      <c r="D217" s="12"/>
      <c r="E217" s="13"/>
      <c r="F217" s="10">
        <v>485</v>
      </c>
    </row>
    <row r="218" spans="1:8" x14ac:dyDescent="0.3">
      <c r="A218" s="7" t="s">
        <v>998</v>
      </c>
      <c r="B218" t="s">
        <v>999</v>
      </c>
      <c r="C218" t="s">
        <v>1000</v>
      </c>
      <c r="D218" s="8"/>
      <c r="E218" s="9">
        <v>14955</v>
      </c>
      <c r="F218" s="7">
        <v>486</v>
      </c>
      <c r="G218" t="s">
        <v>658</v>
      </c>
      <c r="H218" t="s">
        <v>659</v>
      </c>
    </row>
    <row r="219" spans="1:8" x14ac:dyDescent="0.3">
      <c r="A219" s="7" t="s">
        <v>1001</v>
      </c>
      <c r="B219" t="s">
        <v>691</v>
      </c>
      <c r="C219" t="s">
        <v>829</v>
      </c>
      <c r="D219" s="8">
        <v>1000000</v>
      </c>
      <c r="E219" s="9"/>
      <c r="F219" s="7">
        <v>487</v>
      </c>
      <c r="G219" t="s">
        <v>679</v>
      </c>
      <c r="H219" t="s">
        <v>659</v>
      </c>
    </row>
    <row r="220" spans="1:8" x14ac:dyDescent="0.3">
      <c r="A220" s="10" t="s">
        <v>684</v>
      </c>
      <c r="B220" s="11" t="s">
        <v>685</v>
      </c>
      <c r="C220" s="11" t="s">
        <v>685</v>
      </c>
      <c r="D220" s="12"/>
      <c r="E220" s="13"/>
      <c r="F220" s="10">
        <v>488</v>
      </c>
    </row>
    <row r="221" spans="1:8" x14ac:dyDescent="0.3">
      <c r="A221" s="7" t="s">
        <v>1001</v>
      </c>
      <c r="B221" t="s">
        <v>1002</v>
      </c>
      <c r="C221" t="s">
        <v>968</v>
      </c>
      <c r="D221" s="8">
        <v>1580000</v>
      </c>
      <c r="E221" s="9"/>
      <c r="F221" s="7">
        <v>489</v>
      </c>
      <c r="G221" t="s">
        <v>658</v>
      </c>
      <c r="H221" t="s">
        <v>659</v>
      </c>
    </row>
    <row r="222" spans="1:8" x14ac:dyDescent="0.3">
      <c r="A222" s="7" t="s">
        <v>1001</v>
      </c>
      <c r="B222" t="s">
        <v>1003</v>
      </c>
      <c r="C222" t="s">
        <v>942</v>
      </c>
      <c r="D222" s="8">
        <v>1080000</v>
      </c>
      <c r="E222" s="9"/>
      <c r="F222" s="7">
        <v>490</v>
      </c>
      <c r="G222" t="s">
        <v>679</v>
      </c>
      <c r="H222" t="s">
        <v>659</v>
      </c>
    </row>
    <row r="223" spans="1:8" x14ac:dyDescent="0.3">
      <c r="A223" s="7" t="s">
        <v>1001</v>
      </c>
      <c r="B223" t="s">
        <v>1004</v>
      </c>
      <c r="C223" t="s">
        <v>707</v>
      </c>
      <c r="D223" s="8">
        <v>6480000</v>
      </c>
      <c r="E223" s="9"/>
      <c r="F223" s="7">
        <v>491</v>
      </c>
      <c r="G223" t="s">
        <v>679</v>
      </c>
      <c r="H223" t="s">
        <v>926</v>
      </c>
    </row>
    <row r="224" spans="1:8" x14ac:dyDescent="0.3">
      <c r="A224" s="7" t="s">
        <v>1001</v>
      </c>
      <c r="B224" t="s">
        <v>1005</v>
      </c>
      <c r="C224" t="s">
        <v>1006</v>
      </c>
      <c r="D224" s="8">
        <v>18890000</v>
      </c>
      <c r="E224" s="9"/>
      <c r="F224" s="7">
        <v>492</v>
      </c>
      <c r="G224" t="s">
        <v>679</v>
      </c>
      <c r="H224" t="s">
        <v>659</v>
      </c>
    </row>
    <row r="225" spans="1:8" x14ac:dyDescent="0.3">
      <c r="A225" s="7" t="s">
        <v>1007</v>
      </c>
      <c r="B225" t="s">
        <v>816</v>
      </c>
      <c r="C225" t="s">
        <v>735</v>
      </c>
      <c r="D225" s="8">
        <v>1580000</v>
      </c>
      <c r="E225" s="9"/>
      <c r="F225" s="7">
        <v>493</v>
      </c>
      <c r="G225" t="s">
        <v>679</v>
      </c>
      <c r="H225" t="s">
        <v>659</v>
      </c>
    </row>
    <row r="226" spans="1:8" x14ac:dyDescent="0.3">
      <c r="A226" s="7" t="s">
        <v>1008</v>
      </c>
      <c r="B226" t="s">
        <v>1009</v>
      </c>
      <c r="C226" t="s">
        <v>665</v>
      </c>
      <c r="D226" s="8"/>
      <c r="E226" s="9">
        <v>1808</v>
      </c>
      <c r="F226" s="7">
        <v>494</v>
      </c>
    </row>
    <row r="227" spans="1:8" x14ac:dyDescent="0.3">
      <c r="A227" s="10" t="s">
        <v>684</v>
      </c>
      <c r="B227" s="11" t="s">
        <v>685</v>
      </c>
      <c r="C227" s="11" t="s">
        <v>685</v>
      </c>
      <c r="D227" s="12"/>
      <c r="E227" s="13"/>
      <c r="F227" s="10">
        <v>495</v>
      </c>
    </row>
    <row r="228" spans="1:8" x14ac:dyDescent="0.3">
      <c r="A228" s="7" t="s">
        <v>1010</v>
      </c>
      <c r="B228" t="s">
        <v>1011</v>
      </c>
      <c r="C228" t="s">
        <v>942</v>
      </c>
      <c r="D228" s="8">
        <v>710000</v>
      </c>
      <c r="E228" s="9"/>
      <c r="F228" s="7">
        <v>496</v>
      </c>
      <c r="G228" t="s">
        <v>679</v>
      </c>
      <c r="H228" t="s">
        <v>659</v>
      </c>
    </row>
    <row r="229" spans="1:8" x14ac:dyDescent="0.3">
      <c r="A229" s="7" t="s">
        <v>1010</v>
      </c>
      <c r="B229" t="s">
        <v>1012</v>
      </c>
      <c r="C229" t="s">
        <v>696</v>
      </c>
      <c r="D229" s="8">
        <v>3600000</v>
      </c>
      <c r="E229" s="9"/>
      <c r="F229" s="7">
        <v>497</v>
      </c>
      <c r="G229" t="s">
        <v>658</v>
      </c>
      <c r="H229" t="s">
        <v>659</v>
      </c>
    </row>
    <row r="230" spans="1:8" x14ac:dyDescent="0.3">
      <c r="A230" s="7" t="s">
        <v>1013</v>
      </c>
      <c r="B230" t="s">
        <v>1014</v>
      </c>
      <c r="C230" t="s">
        <v>953</v>
      </c>
      <c r="D230" s="8">
        <v>3300000</v>
      </c>
      <c r="E230" s="9"/>
      <c r="F230" s="7">
        <v>498</v>
      </c>
      <c r="G230" t="s">
        <v>679</v>
      </c>
      <c r="H230" t="s">
        <v>659</v>
      </c>
    </row>
    <row r="231" spans="1:8" x14ac:dyDescent="0.3">
      <c r="A231" s="7" t="s">
        <v>1013</v>
      </c>
      <c r="B231" t="s">
        <v>1015</v>
      </c>
      <c r="C231" t="s">
        <v>672</v>
      </c>
      <c r="D231" s="8">
        <v>5732000</v>
      </c>
      <c r="E231" s="9"/>
      <c r="F231" s="7">
        <v>499</v>
      </c>
      <c r="G231" t="s">
        <v>658</v>
      </c>
      <c r="H231" t="s">
        <v>659</v>
      </c>
    </row>
    <row r="232" spans="1:8" x14ac:dyDescent="0.3">
      <c r="A232" s="7" t="s">
        <v>1016</v>
      </c>
      <c r="B232" t="s">
        <v>1017</v>
      </c>
      <c r="C232" t="s">
        <v>978</v>
      </c>
      <c r="D232" s="8">
        <v>2350000</v>
      </c>
      <c r="E232" s="9"/>
      <c r="F232" s="7">
        <v>500</v>
      </c>
      <c r="G232" t="s">
        <v>658</v>
      </c>
      <c r="H232" t="s">
        <v>659</v>
      </c>
    </row>
    <row r="233" spans="1:8" x14ac:dyDescent="0.3">
      <c r="A233" s="7" t="s">
        <v>1016</v>
      </c>
      <c r="B233" t="s">
        <v>893</v>
      </c>
      <c r="C233" t="s">
        <v>761</v>
      </c>
      <c r="D233" s="8">
        <v>1130000</v>
      </c>
      <c r="E233" s="9"/>
      <c r="F233" s="7">
        <v>501</v>
      </c>
      <c r="G233" t="s">
        <v>679</v>
      </c>
      <c r="H233" t="s">
        <v>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B3DB-4AF6-4AF0-8EFC-C98A56AAFA40}">
  <dimension ref="A1:E157"/>
  <sheetViews>
    <sheetView workbookViewId="0">
      <selection activeCell="B16" sqref="B16"/>
    </sheetView>
  </sheetViews>
  <sheetFormatPr baseColWidth="10" defaultRowHeight="14.4" x14ac:dyDescent="0.3"/>
  <cols>
    <col min="1" max="1" width="6.77734375" bestFit="1" customWidth="1"/>
    <col min="2" max="2" width="71.6640625" bestFit="1" customWidth="1"/>
    <col min="3" max="3" width="11.44140625" bestFit="1" customWidth="1"/>
    <col min="4" max="4" width="18.33203125" style="2" bestFit="1" customWidth="1"/>
    <col min="5" max="5" width="11.109375" style="2" bestFit="1" customWidth="1"/>
  </cols>
  <sheetData>
    <row r="1" spans="1:5" x14ac:dyDescent="0.3">
      <c r="A1" t="s">
        <v>1018</v>
      </c>
      <c r="B1" t="s">
        <v>8</v>
      </c>
      <c r="C1" t="s">
        <v>1019</v>
      </c>
      <c r="D1" s="2" t="s">
        <v>1020</v>
      </c>
      <c r="E1" s="2" t="s">
        <v>1021</v>
      </c>
    </row>
    <row r="2" spans="1:5" x14ac:dyDescent="0.3">
      <c r="A2" s="1" t="s">
        <v>18</v>
      </c>
      <c r="B2" s="1" t="s">
        <v>20</v>
      </c>
      <c r="C2" s="1" t="s">
        <v>19</v>
      </c>
      <c r="D2" s="2">
        <v>3000</v>
      </c>
      <c r="E2" s="3" t="s">
        <v>1022</v>
      </c>
    </row>
    <row r="3" spans="1:5" x14ac:dyDescent="0.3">
      <c r="A3" s="1" t="s">
        <v>24</v>
      </c>
      <c r="B3" s="1" t="s">
        <v>28</v>
      </c>
      <c r="C3" s="1" t="s">
        <v>19</v>
      </c>
      <c r="D3" s="2">
        <v>1862</v>
      </c>
      <c r="E3" s="3" t="s">
        <v>1022</v>
      </c>
    </row>
    <row r="4" spans="1:5" x14ac:dyDescent="0.3">
      <c r="A4" s="1" t="s">
        <v>27</v>
      </c>
      <c r="B4" s="1" t="s">
        <v>25</v>
      </c>
      <c r="C4" s="1" t="s">
        <v>19</v>
      </c>
      <c r="D4" s="2">
        <v>1350</v>
      </c>
      <c r="E4" s="3" t="s">
        <v>1022</v>
      </c>
    </row>
    <row r="5" spans="1:5" x14ac:dyDescent="0.3">
      <c r="A5" s="1" t="s">
        <v>30</v>
      </c>
      <c r="B5" s="1" t="s">
        <v>1023</v>
      </c>
      <c r="C5" s="1" t="s">
        <v>19</v>
      </c>
      <c r="D5" s="2">
        <v>6150</v>
      </c>
      <c r="E5" s="3" t="s">
        <v>1022</v>
      </c>
    </row>
    <row r="6" spans="1:5" x14ac:dyDescent="0.3">
      <c r="A6" s="1" t="s">
        <v>34</v>
      </c>
      <c r="B6" s="1" t="s">
        <v>92</v>
      </c>
      <c r="C6" s="1" t="s">
        <v>19</v>
      </c>
      <c r="D6" s="2">
        <v>7400</v>
      </c>
      <c r="E6" s="3" t="s">
        <v>1022</v>
      </c>
    </row>
    <row r="7" spans="1:5" x14ac:dyDescent="0.3">
      <c r="A7" s="1" t="s">
        <v>37</v>
      </c>
      <c r="B7" s="1" t="s">
        <v>1024</v>
      </c>
      <c r="C7" s="1" t="s">
        <v>19</v>
      </c>
      <c r="D7" s="2">
        <v>5250</v>
      </c>
      <c r="E7" s="3" t="s">
        <v>1022</v>
      </c>
    </row>
    <row r="8" spans="1:5" x14ac:dyDescent="0.3">
      <c r="A8" s="1" t="s">
        <v>41</v>
      </c>
      <c r="B8" s="1" t="s">
        <v>1025</v>
      </c>
      <c r="C8" s="1" t="s">
        <v>19</v>
      </c>
      <c r="D8" s="2">
        <v>8500</v>
      </c>
      <c r="E8" s="3" t="s">
        <v>1022</v>
      </c>
    </row>
    <row r="9" spans="1:5" x14ac:dyDescent="0.3">
      <c r="A9" s="1" t="s">
        <v>45</v>
      </c>
      <c r="B9" s="1" t="s">
        <v>1026</v>
      </c>
      <c r="C9" s="1" t="s">
        <v>19</v>
      </c>
      <c r="D9" s="2">
        <v>11500</v>
      </c>
      <c r="E9" s="3" t="s">
        <v>1022</v>
      </c>
    </row>
    <row r="10" spans="1:5" x14ac:dyDescent="0.3">
      <c r="A10" s="1" t="s">
        <v>49</v>
      </c>
      <c r="B10" s="1" t="s">
        <v>1027</v>
      </c>
      <c r="C10" s="1" t="s">
        <v>19</v>
      </c>
      <c r="D10" s="2">
        <v>21500</v>
      </c>
      <c r="E10" s="3" t="s">
        <v>1022</v>
      </c>
    </row>
    <row r="11" spans="1:5" x14ac:dyDescent="0.3">
      <c r="A11" s="1" t="s">
        <v>51</v>
      </c>
      <c r="B11" s="1" t="s">
        <v>1028</v>
      </c>
      <c r="C11" s="1" t="s">
        <v>19</v>
      </c>
      <c r="D11" s="2">
        <v>34500</v>
      </c>
      <c r="E11" s="3" t="s">
        <v>1022</v>
      </c>
    </row>
    <row r="12" spans="1:5" x14ac:dyDescent="0.3">
      <c r="A12" s="1" t="s">
        <v>54</v>
      </c>
      <c r="B12" s="1" t="s">
        <v>1029</v>
      </c>
      <c r="C12" s="1" t="s">
        <v>19</v>
      </c>
      <c r="D12" s="2">
        <v>8150</v>
      </c>
      <c r="E12" s="3" t="s">
        <v>1022</v>
      </c>
    </row>
    <row r="13" spans="1:5" x14ac:dyDescent="0.3">
      <c r="A13" s="1" t="s">
        <v>58</v>
      </c>
      <c r="B13" s="1" t="s">
        <v>1030</v>
      </c>
      <c r="C13" s="1" t="s">
        <v>19</v>
      </c>
      <c r="D13" s="2">
        <v>8150</v>
      </c>
      <c r="E13" s="3" t="s">
        <v>1022</v>
      </c>
    </row>
    <row r="14" spans="1:5" x14ac:dyDescent="0.3">
      <c r="A14" s="1" t="s">
        <v>60</v>
      </c>
      <c r="B14" s="1" t="s">
        <v>1031</v>
      </c>
      <c r="C14" s="1" t="s">
        <v>19</v>
      </c>
      <c r="D14" s="2">
        <v>5300</v>
      </c>
      <c r="E14" s="3" t="s">
        <v>1022</v>
      </c>
    </row>
    <row r="15" spans="1:5" x14ac:dyDescent="0.3">
      <c r="A15" s="1" t="s">
        <v>64</v>
      </c>
      <c r="B15" s="1" t="s">
        <v>1032</v>
      </c>
      <c r="C15" s="1" t="s">
        <v>19</v>
      </c>
      <c r="D15" s="2">
        <v>8300</v>
      </c>
      <c r="E15" s="3" t="s">
        <v>1022</v>
      </c>
    </row>
    <row r="16" spans="1:5" x14ac:dyDescent="0.3">
      <c r="A16" s="1" t="s">
        <v>68</v>
      </c>
      <c r="B16" s="1" t="s">
        <v>1033</v>
      </c>
      <c r="C16" s="1" t="s">
        <v>19</v>
      </c>
      <c r="D16" s="2">
        <v>8100</v>
      </c>
      <c r="E16" s="3" t="s">
        <v>1022</v>
      </c>
    </row>
    <row r="17" spans="1:5" x14ac:dyDescent="0.3">
      <c r="A17" s="1" t="s">
        <v>72</v>
      </c>
      <c r="B17" s="1" t="s">
        <v>1034</v>
      </c>
      <c r="C17" s="1" t="s">
        <v>19</v>
      </c>
      <c r="D17" s="2">
        <v>5200</v>
      </c>
      <c r="E17" s="3" t="s">
        <v>1022</v>
      </c>
    </row>
    <row r="18" spans="1:5" x14ac:dyDescent="0.3">
      <c r="A18" s="1" t="s">
        <v>76</v>
      </c>
      <c r="B18" s="1" t="s">
        <v>1035</v>
      </c>
      <c r="C18" s="1" t="s">
        <v>19</v>
      </c>
      <c r="D18" s="2">
        <v>8100</v>
      </c>
      <c r="E18" s="3" t="s">
        <v>1022</v>
      </c>
    </row>
    <row r="19" spans="1:5" x14ac:dyDescent="0.3">
      <c r="A19" s="1" t="s">
        <v>79</v>
      </c>
      <c r="B19" s="1" t="s">
        <v>1036</v>
      </c>
      <c r="C19" s="1" t="s">
        <v>19</v>
      </c>
      <c r="D19" s="2">
        <v>11500</v>
      </c>
      <c r="E19" s="3" t="s">
        <v>1022</v>
      </c>
    </row>
    <row r="20" spans="1:5" x14ac:dyDescent="0.3">
      <c r="A20" s="1" t="s">
        <v>81</v>
      </c>
      <c r="B20" s="1" t="s">
        <v>1037</v>
      </c>
      <c r="C20" s="1" t="s">
        <v>19</v>
      </c>
      <c r="D20" s="2">
        <v>11500</v>
      </c>
      <c r="E20" s="3" t="s">
        <v>1022</v>
      </c>
    </row>
    <row r="21" spans="1:5" x14ac:dyDescent="0.3">
      <c r="A21" s="1" t="s">
        <v>84</v>
      </c>
      <c r="B21" s="1" t="s">
        <v>1038</v>
      </c>
      <c r="C21" s="1" t="s">
        <v>19</v>
      </c>
      <c r="D21" s="2">
        <v>11500</v>
      </c>
      <c r="E21" s="3" t="s">
        <v>1022</v>
      </c>
    </row>
    <row r="22" spans="1:5" x14ac:dyDescent="0.3">
      <c r="A22" s="1" t="s">
        <v>87</v>
      </c>
      <c r="B22" s="1" t="s">
        <v>1039</v>
      </c>
      <c r="C22" s="1" t="s">
        <v>19</v>
      </c>
      <c r="D22" s="2">
        <v>8500</v>
      </c>
      <c r="E22" s="3" t="s">
        <v>1022</v>
      </c>
    </row>
    <row r="23" spans="1:5" x14ac:dyDescent="0.3">
      <c r="A23" s="1" t="s">
        <v>91</v>
      </c>
      <c r="B23" s="1" t="s">
        <v>1040</v>
      </c>
      <c r="C23" s="1" t="s">
        <v>19</v>
      </c>
      <c r="D23" s="2">
        <v>21500</v>
      </c>
      <c r="E23" s="3" t="s">
        <v>1022</v>
      </c>
    </row>
    <row r="24" spans="1:5" x14ac:dyDescent="0.3">
      <c r="A24" s="1" t="s">
        <v>95</v>
      </c>
      <c r="B24" s="1" t="s">
        <v>1041</v>
      </c>
      <c r="C24" s="1" t="s">
        <v>19</v>
      </c>
      <c r="D24" s="2">
        <v>21500</v>
      </c>
      <c r="E24" s="3" t="s">
        <v>1022</v>
      </c>
    </row>
    <row r="25" spans="1:5" x14ac:dyDescent="0.3">
      <c r="A25" s="1" t="s">
        <v>99</v>
      </c>
      <c r="B25" s="1" t="s">
        <v>1042</v>
      </c>
      <c r="C25" s="1" t="s">
        <v>19</v>
      </c>
      <c r="D25" s="2">
        <v>21500</v>
      </c>
      <c r="E25" s="3" t="s">
        <v>1022</v>
      </c>
    </row>
    <row r="26" spans="1:5" x14ac:dyDescent="0.3">
      <c r="A26" s="1" t="s">
        <v>103</v>
      </c>
      <c r="B26" s="1" t="s">
        <v>1043</v>
      </c>
      <c r="C26" s="1" t="s">
        <v>19</v>
      </c>
      <c r="D26" s="2">
        <v>34500</v>
      </c>
      <c r="E26" s="3" t="s">
        <v>1022</v>
      </c>
    </row>
    <row r="27" spans="1:5" x14ac:dyDescent="0.3">
      <c r="A27" s="1" t="s">
        <v>107</v>
      </c>
      <c r="B27" s="1" t="s">
        <v>1044</v>
      </c>
      <c r="C27" s="1" t="s">
        <v>19</v>
      </c>
      <c r="D27" s="2">
        <v>34500</v>
      </c>
      <c r="E27" s="3" t="s">
        <v>1022</v>
      </c>
    </row>
    <row r="28" spans="1:5" x14ac:dyDescent="0.3">
      <c r="A28" s="1" t="s">
        <v>109</v>
      </c>
      <c r="B28" s="1" t="s">
        <v>1045</v>
      </c>
      <c r="C28" s="1" t="s">
        <v>19</v>
      </c>
      <c r="D28" s="2">
        <v>34500</v>
      </c>
      <c r="E28" s="3" t="s">
        <v>1022</v>
      </c>
    </row>
    <row r="29" spans="1:5" x14ac:dyDescent="0.3">
      <c r="A29" s="1" t="s">
        <v>112</v>
      </c>
      <c r="B29" s="1" t="s">
        <v>113</v>
      </c>
      <c r="C29" s="1" t="s">
        <v>19</v>
      </c>
      <c r="D29" s="2">
        <v>14536</v>
      </c>
      <c r="E29" s="3" t="s">
        <v>1022</v>
      </c>
    </row>
    <row r="30" spans="1:5" x14ac:dyDescent="0.3">
      <c r="A30" s="1" t="s">
        <v>114</v>
      </c>
      <c r="B30" s="1" t="s">
        <v>115</v>
      </c>
      <c r="C30" s="1" t="s">
        <v>19</v>
      </c>
      <c r="D30" s="2">
        <v>35055</v>
      </c>
      <c r="E30" s="3" t="s">
        <v>1022</v>
      </c>
    </row>
    <row r="31" spans="1:5" x14ac:dyDescent="0.3">
      <c r="A31" s="1" t="s">
        <v>118</v>
      </c>
      <c r="B31" s="1" t="s">
        <v>119</v>
      </c>
      <c r="C31" s="1" t="s">
        <v>19</v>
      </c>
      <c r="D31" s="2">
        <v>3605</v>
      </c>
      <c r="E31" s="3" t="s">
        <v>1022</v>
      </c>
    </row>
    <row r="32" spans="1:5" x14ac:dyDescent="0.3">
      <c r="A32" s="1" t="s">
        <v>121</v>
      </c>
      <c r="B32" s="1" t="s">
        <v>122</v>
      </c>
      <c r="C32" s="1" t="s">
        <v>73</v>
      </c>
      <c r="D32" s="2">
        <v>71155</v>
      </c>
      <c r="E32" s="3" t="s">
        <v>1022</v>
      </c>
    </row>
    <row r="33" spans="1:5" x14ac:dyDescent="0.3">
      <c r="A33" s="1" t="s">
        <v>125</v>
      </c>
      <c r="B33" s="1" t="s">
        <v>126</v>
      </c>
      <c r="C33" s="1" t="s">
        <v>73</v>
      </c>
      <c r="D33" s="2">
        <v>2565</v>
      </c>
      <c r="E33" s="3" t="s">
        <v>1022</v>
      </c>
    </row>
    <row r="34" spans="1:5" x14ac:dyDescent="0.3">
      <c r="A34" s="1" t="s">
        <v>127</v>
      </c>
      <c r="B34" s="1" t="s">
        <v>128</v>
      </c>
      <c r="C34" s="1" t="s">
        <v>73</v>
      </c>
      <c r="D34" s="2">
        <v>18145</v>
      </c>
      <c r="E34" s="3" t="s">
        <v>1022</v>
      </c>
    </row>
    <row r="35" spans="1:5" x14ac:dyDescent="0.3">
      <c r="A35" s="1" t="s">
        <v>130</v>
      </c>
      <c r="B35" s="1" t="s">
        <v>131</v>
      </c>
      <c r="C35" s="1" t="s">
        <v>73</v>
      </c>
      <c r="D35" s="2">
        <v>29735</v>
      </c>
      <c r="E35" s="3" t="s">
        <v>1022</v>
      </c>
    </row>
    <row r="36" spans="1:5" x14ac:dyDescent="0.3">
      <c r="A36" s="1" t="s">
        <v>132</v>
      </c>
      <c r="B36" s="1" t="s">
        <v>133</v>
      </c>
      <c r="C36" s="1" t="s">
        <v>73</v>
      </c>
      <c r="D36" s="2">
        <v>18145</v>
      </c>
      <c r="E36" s="3" t="s">
        <v>1022</v>
      </c>
    </row>
    <row r="37" spans="1:5" x14ac:dyDescent="0.3">
      <c r="A37" s="1" t="s">
        <v>134</v>
      </c>
      <c r="B37" s="1" t="s">
        <v>135</v>
      </c>
      <c r="C37" s="1" t="s">
        <v>73</v>
      </c>
      <c r="D37" s="2">
        <v>29735</v>
      </c>
      <c r="E37" s="3" t="s">
        <v>1022</v>
      </c>
    </row>
    <row r="38" spans="1:5" x14ac:dyDescent="0.3">
      <c r="A38" s="1" t="s">
        <v>136</v>
      </c>
      <c r="B38" s="1" t="s">
        <v>137</v>
      </c>
      <c r="C38" s="1" t="s">
        <v>73</v>
      </c>
      <c r="D38" s="2">
        <v>1121</v>
      </c>
      <c r="E38" s="3" t="s">
        <v>1022</v>
      </c>
    </row>
    <row r="39" spans="1:5" x14ac:dyDescent="0.3">
      <c r="A39" s="1" t="s">
        <v>138</v>
      </c>
      <c r="B39" s="1" t="s">
        <v>139</v>
      </c>
      <c r="C39" s="1" t="s">
        <v>73</v>
      </c>
      <c r="D39" s="2">
        <v>1273</v>
      </c>
      <c r="E39" s="3" t="s">
        <v>1022</v>
      </c>
    </row>
    <row r="40" spans="1:5" x14ac:dyDescent="0.3">
      <c r="A40" s="1" t="s">
        <v>140</v>
      </c>
      <c r="B40" s="1" t="s">
        <v>141</v>
      </c>
      <c r="C40" s="1" t="s">
        <v>73</v>
      </c>
      <c r="D40" s="2">
        <v>1273</v>
      </c>
      <c r="E40" s="3" t="s">
        <v>1022</v>
      </c>
    </row>
    <row r="41" spans="1:5" x14ac:dyDescent="0.3">
      <c r="A41" s="1" t="s">
        <v>142</v>
      </c>
      <c r="B41" s="1" t="s">
        <v>143</v>
      </c>
      <c r="C41" s="1" t="s">
        <v>73</v>
      </c>
      <c r="D41" s="2">
        <v>152</v>
      </c>
      <c r="E41" s="3" t="s">
        <v>1022</v>
      </c>
    </row>
    <row r="42" spans="1:5" x14ac:dyDescent="0.3">
      <c r="A42" s="1" t="s">
        <v>144</v>
      </c>
      <c r="B42" s="1" t="s">
        <v>145</v>
      </c>
      <c r="C42" s="1" t="s">
        <v>19</v>
      </c>
      <c r="D42" s="2">
        <v>496375</v>
      </c>
      <c r="E42" s="3" t="s">
        <v>1022</v>
      </c>
    </row>
    <row r="43" spans="1:5" x14ac:dyDescent="0.3">
      <c r="A43" s="1" t="s">
        <v>148</v>
      </c>
      <c r="B43" s="1" t="s">
        <v>149</v>
      </c>
      <c r="C43" s="1" t="s">
        <v>19</v>
      </c>
      <c r="D43" s="2">
        <v>35834</v>
      </c>
      <c r="E43" s="3" t="s">
        <v>1022</v>
      </c>
    </row>
    <row r="44" spans="1:5" x14ac:dyDescent="0.3">
      <c r="A44" s="1" t="s">
        <v>150</v>
      </c>
      <c r="B44" s="1" t="s">
        <v>151</v>
      </c>
      <c r="C44" s="1" t="s">
        <v>19</v>
      </c>
      <c r="D44" s="2">
        <v>17005</v>
      </c>
      <c r="E44" s="3" t="s">
        <v>1022</v>
      </c>
    </row>
    <row r="45" spans="1:5" x14ac:dyDescent="0.3">
      <c r="A45" s="1" t="s">
        <v>152</v>
      </c>
      <c r="B45" s="1" t="s">
        <v>153</v>
      </c>
      <c r="C45" s="1" t="s">
        <v>19</v>
      </c>
      <c r="D45" s="2">
        <v>150575</v>
      </c>
      <c r="E45" s="3" t="s">
        <v>1022</v>
      </c>
    </row>
    <row r="46" spans="1:5" x14ac:dyDescent="0.3">
      <c r="A46" s="1" t="s">
        <v>154</v>
      </c>
      <c r="B46" s="1" t="s">
        <v>155</v>
      </c>
      <c r="C46" s="1" t="s">
        <v>19</v>
      </c>
      <c r="D46" s="2">
        <v>1425</v>
      </c>
      <c r="E46" s="3" t="s">
        <v>1022</v>
      </c>
    </row>
    <row r="47" spans="1:5" x14ac:dyDescent="0.3">
      <c r="A47" s="1" t="s">
        <v>156</v>
      </c>
      <c r="B47" s="1" t="s">
        <v>157</v>
      </c>
      <c r="C47" s="1" t="s">
        <v>19</v>
      </c>
      <c r="D47" s="2">
        <v>128725</v>
      </c>
      <c r="E47" s="3" t="s">
        <v>1022</v>
      </c>
    </row>
    <row r="48" spans="1:5" x14ac:dyDescent="0.3">
      <c r="A48" s="1" t="s">
        <v>159</v>
      </c>
      <c r="B48" s="1" t="s">
        <v>160</v>
      </c>
      <c r="C48" s="1" t="s">
        <v>13</v>
      </c>
      <c r="D48" s="2">
        <v>15770</v>
      </c>
      <c r="E48" s="3" t="s">
        <v>1022</v>
      </c>
    </row>
    <row r="49" spans="1:5" x14ac:dyDescent="0.3">
      <c r="A49" s="1" t="s">
        <v>164</v>
      </c>
      <c r="B49" s="1" t="s">
        <v>165</v>
      </c>
      <c r="C49" s="1" t="s">
        <v>13</v>
      </c>
      <c r="D49" s="2">
        <v>65720</v>
      </c>
      <c r="E49" s="3" t="s">
        <v>1022</v>
      </c>
    </row>
    <row r="50" spans="1:5" x14ac:dyDescent="0.3">
      <c r="A50" s="1" t="s">
        <v>169</v>
      </c>
      <c r="B50" s="1" t="s">
        <v>170</v>
      </c>
      <c r="C50" s="1" t="s">
        <v>13</v>
      </c>
      <c r="D50" s="2">
        <v>205649</v>
      </c>
      <c r="E50" s="3" t="s">
        <v>1022</v>
      </c>
    </row>
    <row r="51" spans="1:5" x14ac:dyDescent="0.3">
      <c r="A51" s="1" t="s">
        <v>174</v>
      </c>
      <c r="B51" s="1" t="s">
        <v>175</v>
      </c>
      <c r="C51" s="1" t="s">
        <v>13</v>
      </c>
      <c r="D51" s="2">
        <v>461673</v>
      </c>
      <c r="E51" s="3" t="s">
        <v>1022</v>
      </c>
    </row>
    <row r="52" spans="1:5" x14ac:dyDescent="0.3">
      <c r="A52" s="1" t="s">
        <v>179</v>
      </c>
      <c r="B52" s="1" t="s">
        <v>180</v>
      </c>
      <c r="C52" s="1" t="s">
        <v>13</v>
      </c>
      <c r="D52" s="2">
        <v>643362</v>
      </c>
      <c r="E52" s="3" t="s">
        <v>1022</v>
      </c>
    </row>
    <row r="53" spans="1:5" x14ac:dyDescent="0.3">
      <c r="A53" s="1" t="s">
        <v>184</v>
      </c>
      <c r="B53" s="1" t="s">
        <v>185</v>
      </c>
      <c r="C53" s="1" t="s">
        <v>13</v>
      </c>
      <c r="D53" s="2">
        <v>603842</v>
      </c>
      <c r="E53" s="3" t="s">
        <v>1022</v>
      </c>
    </row>
    <row r="54" spans="1:5" x14ac:dyDescent="0.3">
      <c r="A54" s="1" t="s">
        <v>189</v>
      </c>
      <c r="B54" s="1" t="s">
        <v>190</v>
      </c>
      <c r="C54" s="1" t="s">
        <v>13</v>
      </c>
      <c r="D54" s="2">
        <v>371141</v>
      </c>
      <c r="E54" s="3" t="s">
        <v>1022</v>
      </c>
    </row>
    <row r="55" spans="1:5" x14ac:dyDescent="0.3">
      <c r="A55" s="1" t="s">
        <v>194</v>
      </c>
      <c r="B55" s="1" t="s">
        <v>195</v>
      </c>
      <c r="C55" s="1" t="s">
        <v>13</v>
      </c>
      <c r="D55" s="2">
        <v>452504</v>
      </c>
      <c r="E55" s="3" t="s">
        <v>1022</v>
      </c>
    </row>
    <row r="56" spans="1:5" x14ac:dyDescent="0.3">
      <c r="A56" s="1" t="s">
        <v>199</v>
      </c>
      <c r="B56" s="1" t="s">
        <v>200</v>
      </c>
      <c r="C56" s="1" t="s">
        <v>13</v>
      </c>
      <c r="D56" s="2">
        <v>514553</v>
      </c>
      <c r="E56" s="3" t="s">
        <v>1022</v>
      </c>
    </row>
    <row r="57" spans="1:5" x14ac:dyDescent="0.3">
      <c r="A57" s="1" t="s">
        <v>204</v>
      </c>
      <c r="B57" s="1" t="s">
        <v>205</v>
      </c>
      <c r="C57" s="1" t="s">
        <v>13</v>
      </c>
      <c r="D57" s="2">
        <v>1192163</v>
      </c>
      <c r="E57" s="3" t="s">
        <v>1022</v>
      </c>
    </row>
    <row r="58" spans="1:5" x14ac:dyDescent="0.3">
      <c r="A58" s="1" t="s">
        <v>209</v>
      </c>
      <c r="B58" s="1" t="s">
        <v>210</v>
      </c>
      <c r="C58" s="1" t="s">
        <v>13</v>
      </c>
      <c r="D58" s="2">
        <v>826599</v>
      </c>
      <c r="E58" s="3" t="s">
        <v>1022</v>
      </c>
    </row>
    <row r="59" spans="1:5" x14ac:dyDescent="0.3">
      <c r="A59" s="1" t="s">
        <v>214</v>
      </c>
      <c r="B59" s="1" t="s">
        <v>215</v>
      </c>
      <c r="C59" s="1" t="s">
        <v>13</v>
      </c>
      <c r="D59" s="2">
        <v>83900</v>
      </c>
      <c r="E59" s="3" t="s">
        <v>1022</v>
      </c>
    </row>
    <row r="60" spans="1:5" x14ac:dyDescent="0.3">
      <c r="A60" s="1" t="s">
        <v>219</v>
      </c>
      <c r="B60" s="1" t="s">
        <v>220</v>
      </c>
      <c r="C60" s="1" t="s">
        <v>13</v>
      </c>
      <c r="D60" s="2">
        <v>2197996</v>
      </c>
      <c r="E60" s="3" t="s">
        <v>1022</v>
      </c>
    </row>
    <row r="61" spans="1:5" x14ac:dyDescent="0.3">
      <c r="A61" s="1" t="s">
        <v>224</v>
      </c>
      <c r="B61" s="1" t="s">
        <v>225</v>
      </c>
      <c r="C61" s="1" t="s">
        <v>13</v>
      </c>
      <c r="D61" s="2">
        <v>2641369</v>
      </c>
      <c r="E61" s="3" t="s">
        <v>1022</v>
      </c>
    </row>
    <row r="62" spans="1:5" x14ac:dyDescent="0.3">
      <c r="A62" s="1" t="s">
        <v>229</v>
      </c>
      <c r="B62" s="1" t="s">
        <v>230</v>
      </c>
      <c r="C62" s="1" t="s">
        <v>13</v>
      </c>
      <c r="D62" s="2">
        <v>2412791</v>
      </c>
      <c r="E62" s="3" t="s">
        <v>1022</v>
      </c>
    </row>
    <row r="63" spans="1:5" x14ac:dyDescent="0.3">
      <c r="A63" s="1" t="s">
        <v>234</v>
      </c>
      <c r="B63" s="1" t="s">
        <v>235</v>
      </c>
      <c r="C63" s="1" t="s">
        <v>13</v>
      </c>
      <c r="D63" s="2">
        <v>229290</v>
      </c>
      <c r="E63" s="3" t="s">
        <v>1022</v>
      </c>
    </row>
    <row r="64" spans="1:5" x14ac:dyDescent="0.3">
      <c r="A64" s="1" t="s">
        <v>239</v>
      </c>
      <c r="B64" s="1" t="s">
        <v>240</v>
      </c>
      <c r="C64" s="1" t="s">
        <v>13</v>
      </c>
      <c r="D64" s="2">
        <v>8358047</v>
      </c>
      <c r="E64" s="3" t="s">
        <v>1022</v>
      </c>
    </row>
    <row r="65" spans="1:5" x14ac:dyDescent="0.3">
      <c r="A65" s="1" t="s">
        <v>244</v>
      </c>
      <c r="B65" s="1" t="s">
        <v>245</v>
      </c>
      <c r="C65" s="1" t="s">
        <v>13</v>
      </c>
      <c r="D65" s="2">
        <v>6435696</v>
      </c>
      <c r="E65" s="3" t="s">
        <v>1022</v>
      </c>
    </row>
    <row r="66" spans="1:5" x14ac:dyDescent="0.3">
      <c r="A66" s="1" t="s">
        <v>249</v>
      </c>
      <c r="B66" s="1" t="s">
        <v>250</v>
      </c>
      <c r="C66" s="1" t="s">
        <v>73</v>
      </c>
      <c r="D66" s="2">
        <v>175519</v>
      </c>
      <c r="E66" s="3" t="s">
        <v>1022</v>
      </c>
    </row>
    <row r="67" spans="1:5" x14ac:dyDescent="0.3">
      <c r="A67" s="1" t="s">
        <v>253</v>
      </c>
      <c r="B67" s="1" t="s">
        <v>254</v>
      </c>
      <c r="C67" s="1" t="s">
        <v>13</v>
      </c>
      <c r="D67" s="2">
        <v>16716</v>
      </c>
      <c r="E67" s="3" t="s">
        <v>1022</v>
      </c>
    </row>
    <row r="68" spans="1:5" x14ac:dyDescent="0.3">
      <c r="A68" s="1" t="s">
        <v>258</v>
      </c>
      <c r="B68" s="1" t="s">
        <v>259</v>
      </c>
      <c r="C68" s="1" t="s">
        <v>19</v>
      </c>
      <c r="D68" s="2">
        <v>83030</v>
      </c>
      <c r="E68" s="3" t="s">
        <v>1022</v>
      </c>
    </row>
    <row r="69" spans="1:5" x14ac:dyDescent="0.3">
      <c r="A69" s="1" t="s">
        <v>262</v>
      </c>
      <c r="B69" s="1" t="s">
        <v>263</v>
      </c>
      <c r="C69" s="1" t="s">
        <v>19</v>
      </c>
      <c r="D69" s="2">
        <v>80000</v>
      </c>
      <c r="E69" s="3" t="s">
        <v>1022</v>
      </c>
    </row>
    <row r="70" spans="1:5" x14ac:dyDescent="0.3">
      <c r="A70" s="1" t="s">
        <v>266</v>
      </c>
      <c r="B70" s="1" t="s">
        <v>267</v>
      </c>
      <c r="C70" s="1" t="s">
        <v>19</v>
      </c>
      <c r="D70" s="2">
        <v>0</v>
      </c>
      <c r="E70" s="3" t="s">
        <v>1022</v>
      </c>
    </row>
    <row r="71" spans="1:5" x14ac:dyDescent="0.3">
      <c r="A71" s="1" t="s">
        <v>269</v>
      </c>
      <c r="B71" s="1" t="s">
        <v>270</v>
      </c>
      <c r="C71" s="1" t="s">
        <v>19</v>
      </c>
      <c r="D71" s="2">
        <v>89483</v>
      </c>
      <c r="E71" s="3" t="s">
        <v>1022</v>
      </c>
    </row>
    <row r="72" spans="1:5" x14ac:dyDescent="0.3">
      <c r="A72" s="1" t="s">
        <v>273</v>
      </c>
      <c r="B72" s="1" t="s">
        <v>274</v>
      </c>
      <c r="C72" s="1" t="s">
        <v>19</v>
      </c>
      <c r="D72" s="2">
        <v>20980</v>
      </c>
      <c r="E72" s="3" t="s">
        <v>1022</v>
      </c>
    </row>
    <row r="73" spans="1:5" x14ac:dyDescent="0.3">
      <c r="A73" s="1" t="s">
        <v>277</v>
      </c>
      <c r="B73" s="1" t="s">
        <v>278</v>
      </c>
      <c r="C73" s="1" t="s">
        <v>19</v>
      </c>
      <c r="D73" s="2">
        <v>210934</v>
      </c>
      <c r="E73" s="3" t="s">
        <v>1022</v>
      </c>
    </row>
    <row r="74" spans="1:5" x14ac:dyDescent="0.3">
      <c r="A74" s="1" t="s">
        <v>281</v>
      </c>
      <c r="B74" s="1" t="s">
        <v>282</v>
      </c>
      <c r="C74" s="1" t="s">
        <v>13</v>
      </c>
      <c r="D74" s="2">
        <v>372152</v>
      </c>
      <c r="E74" s="3" t="s">
        <v>1022</v>
      </c>
    </row>
    <row r="75" spans="1:5" x14ac:dyDescent="0.3">
      <c r="A75" s="1" t="s">
        <v>284</v>
      </c>
      <c r="B75" s="1" t="s">
        <v>285</v>
      </c>
      <c r="C75" s="1" t="s">
        <v>13</v>
      </c>
      <c r="D75" s="2">
        <v>453665</v>
      </c>
      <c r="E75" s="3" t="s">
        <v>1022</v>
      </c>
    </row>
    <row r="76" spans="1:5" x14ac:dyDescent="0.3">
      <c r="A76" s="1" t="s">
        <v>287</v>
      </c>
      <c r="B76" s="1" t="s">
        <v>288</v>
      </c>
      <c r="C76" s="1" t="s">
        <v>13</v>
      </c>
      <c r="D76" s="2">
        <v>515954</v>
      </c>
      <c r="E76" s="3" t="s">
        <v>1022</v>
      </c>
    </row>
    <row r="77" spans="1:5" x14ac:dyDescent="0.3">
      <c r="A77" s="1" t="s">
        <v>290</v>
      </c>
      <c r="B77" s="1" t="s">
        <v>291</v>
      </c>
      <c r="C77" s="1" t="s">
        <v>13</v>
      </c>
      <c r="D77" s="2">
        <v>240553</v>
      </c>
      <c r="E77" s="3" t="s">
        <v>1022</v>
      </c>
    </row>
    <row r="78" spans="1:5" x14ac:dyDescent="0.3">
      <c r="A78" s="1" t="s">
        <v>295</v>
      </c>
      <c r="B78" s="1" t="s">
        <v>296</v>
      </c>
      <c r="C78" s="1" t="s">
        <v>13</v>
      </c>
      <c r="D78" s="2">
        <v>40821</v>
      </c>
      <c r="E78" s="3" t="s">
        <v>1022</v>
      </c>
    </row>
    <row r="79" spans="1:5" x14ac:dyDescent="0.3">
      <c r="A79" s="1" t="s">
        <v>300</v>
      </c>
      <c r="B79" s="1" t="s">
        <v>301</v>
      </c>
      <c r="C79" s="1" t="s">
        <v>13</v>
      </c>
      <c r="D79" s="2">
        <v>642212</v>
      </c>
      <c r="E79" s="3" t="s">
        <v>1022</v>
      </c>
    </row>
    <row r="80" spans="1:5" x14ac:dyDescent="0.3">
      <c r="A80" s="1" t="s">
        <v>305</v>
      </c>
      <c r="B80" s="1" t="s">
        <v>306</v>
      </c>
      <c r="C80" s="1" t="s">
        <v>13</v>
      </c>
      <c r="D80" s="2">
        <v>913832</v>
      </c>
      <c r="E80" s="3" t="s">
        <v>1022</v>
      </c>
    </row>
    <row r="81" spans="1:5" x14ac:dyDescent="0.3">
      <c r="A81" s="1" t="s">
        <v>310</v>
      </c>
      <c r="B81" s="1" t="s">
        <v>311</v>
      </c>
      <c r="C81" s="1" t="s">
        <v>13</v>
      </c>
      <c r="D81" s="2">
        <v>25791</v>
      </c>
      <c r="E81" s="3" t="s">
        <v>1022</v>
      </c>
    </row>
    <row r="82" spans="1:5" x14ac:dyDescent="0.3">
      <c r="A82" s="1" t="s">
        <v>315</v>
      </c>
      <c r="B82" s="1" t="s">
        <v>316</v>
      </c>
      <c r="C82" s="1" t="s">
        <v>13</v>
      </c>
      <c r="D82" s="2">
        <v>46280</v>
      </c>
      <c r="E82" s="3" t="s">
        <v>1022</v>
      </c>
    </row>
    <row r="83" spans="1:5" x14ac:dyDescent="0.3">
      <c r="A83" s="1" t="s">
        <v>318</v>
      </c>
      <c r="B83" s="1" t="s">
        <v>319</v>
      </c>
      <c r="C83" s="1" t="s">
        <v>13</v>
      </c>
      <c r="D83" s="2">
        <v>553965</v>
      </c>
      <c r="E83" s="3" t="s">
        <v>1022</v>
      </c>
    </row>
    <row r="84" spans="1:5" x14ac:dyDescent="0.3">
      <c r="A84" s="1" t="s">
        <v>323</v>
      </c>
      <c r="B84" s="1" t="s">
        <v>324</v>
      </c>
      <c r="C84" s="1" t="s">
        <v>13</v>
      </c>
      <c r="D84" s="2">
        <v>1018901</v>
      </c>
      <c r="E84" s="3" t="s">
        <v>1022</v>
      </c>
    </row>
    <row r="85" spans="1:5" x14ac:dyDescent="0.3">
      <c r="A85" s="1" t="s">
        <v>328</v>
      </c>
      <c r="B85" s="1" t="s">
        <v>329</v>
      </c>
      <c r="C85" s="1" t="s">
        <v>13</v>
      </c>
      <c r="D85" s="2">
        <v>26320</v>
      </c>
      <c r="E85" s="3" t="s">
        <v>1022</v>
      </c>
    </row>
    <row r="86" spans="1:5" x14ac:dyDescent="0.3">
      <c r="A86" s="1" t="s">
        <v>332</v>
      </c>
      <c r="B86" s="1" t="s">
        <v>333</v>
      </c>
      <c r="C86" s="1" t="s">
        <v>13</v>
      </c>
      <c r="D86" s="2">
        <v>205559</v>
      </c>
      <c r="E86" s="3" t="s">
        <v>1022</v>
      </c>
    </row>
    <row r="87" spans="1:5" x14ac:dyDescent="0.3">
      <c r="A87" s="1" t="s">
        <v>334</v>
      </c>
      <c r="B87" s="1" t="s">
        <v>335</v>
      </c>
      <c r="C87" s="1" t="s">
        <v>19</v>
      </c>
      <c r="D87" s="2">
        <v>65711</v>
      </c>
      <c r="E87" s="3" t="s">
        <v>1022</v>
      </c>
    </row>
    <row r="88" spans="1:5" x14ac:dyDescent="0.3">
      <c r="A88" s="1" t="s">
        <v>342</v>
      </c>
      <c r="B88" s="1" t="s">
        <v>343</v>
      </c>
      <c r="C88" s="1" t="s">
        <v>13</v>
      </c>
      <c r="D88" s="2">
        <v>59000</v>
      </c>
      <c r="E88" s="3" t="s">
        <v>1022</v>
      </c>
    </row>
    <row r="89" spans="1:5" x14ac:dyDescent="0.3">
      <c r="A89" s="1" t="s">
        <v>347</v>
      </c>
      <c r="B89" s="1" t="s">
        <v>348</v>
      </c>
      <c r="C89" s="1" t="s">
        <v>13</v>
      </c>
      <c r="D89" s="2">
        <v>71760</v>
      </c>
      <c r="E89" s="3" t="s">
        <v>1022</v>
      </c>
    </row>
    <row r="90" spans="1:5" x14ac:dyDescent="0.3">
      <c r="A90" s="1" t="s">
        <v>352</v>
      </c>
      <c r="B90" s="1" t="s">
        <v>353</v>
      </c>
      <c r="C90" s="1" t="s">
        <v>13</v>
      </c>
      <c r="D90" s="2">
        <v>720009</v>
      </c>
      <c r="E90" s="3" t="s">
        <v>1022</v>
      </c>
    </row>
    <row r="91" spans="1:5" x14ac:dyDescent="0.3">
      <c r="A91" s="1" t="s">
        <v>357</v>
      </c>
      <c r="B91" s="1" t="s">
        <v>359</v>
      </c>
      <c r="C91" s="1" t="s">
        <v>358</v>
      </c>
      <c r="D91" s="2">
        <v>5026</v>
      </c>
      <c r="E91" s="3" t="s">
        <v>1022</v>
      </c>
    </row>
    <row r="92" spans="1:5" x14ac:dyDescent="0.3">
      <c r="A92" s="1" t="s">
        <v>360</v>
      </c>
      <c r="B92" s="1" t="s">
        <v>361</v>
      </c>
      <c r="C92" s="1" t="s">
        <v>13</v>
      </c>
      <c r="D92" s="2">
        <v>77027</v>
      </c>
      <c r="E92" s="3" t="s">
        <v>1022</v>
      </c>
    </row>
    <row r="93" spans="1:5" x14ac:dyDescent="0.3">
      <c r="A93" s="1" t="s">
        <v>365</v>
      </c>
      <c r="B93" s="1" t="s">
        <v>366</v>
      </c>
      <c r="C93" s="1" t="s">
        <v>13</v>
      </c>
      <c r="D93" s="2">
        <v>73520</v>
      </c>
      <c r="E93" s="3" t="s">
        <v>1022</v>
      </c>
    </row>
    <row r="94" spans="1:5" x14ac:dyDescent="0.3">
      <c r="A94" s="1" t="s">
        <v>370</v>
      </c>
      <c r="B94" s="1" t="s">
        <v>371</v>
      </c>
      <c r="C94" s="1" t="s">
        <v>13</v>
      </c>
      <c r="D94" s="2">
        <v>5397654</v>
      </c>
      <c r="E94" s="3" t="s">
        <v>1022</v>
      </c>
    </row>
    <row r="95" spans="1:5" x14ac:dyDescent="0.3">
      <c r="A95" s="1" t="s">
        <v>375</v>
      </c>
      <c r="B95" s="1" t="s">
        <v>376</v>
      </c>
      <c r="C95" s="1" t="s">
        <v>13</v>
      </c>
      <c r="D95" s="2">
        <v>210900</v>
      </c>
      <c r="E95" s="3" t="s">
        <v>1022</v>
      </c>
    </row>
    <row r="96" spans="1:5" x14ac:dyDescent="0.3">
      <c r="A96" s="1" t="s">
        <v>379</v>
      </c>
      <c r="B96" s="1" t="s">
        <v>376</v>
      </c>
      <c r="C96" s="1" t="s">
        <v>13</v>
      </c>
      <c r="D96" s="2">
        <v>2443716</v>
      </c>
      <c r="E96" s="3" t="s">
        <v>1022</v>
      </c>
    </row>
    <row r="97" spans="1:5" x14ac:dyDescent="0.3">
      <c r="A97" s="1" t="s">
        <v>383</v>
      </c>
      <c r="B97" s="1" t="s">
        <v>384</v>
      </c>
      <c r="C97" s="1" t="s">
        <v>13</v>
      </c>
      <c r="D97" s="2">
        <v>236743</v>
      </c>
      <c r="E97" s="3" t="s">
        <v>1022</v>
      </c>
    </row>
    <row r="98" spans="1:5" x14ac:dyDescent="0.3">
      <c r="A98" s="1" t="s">
        <v>388</v>
      </c>
      <c r="B98" s="1" t="s">
        <v>389</v>
      </c>
      <c r="C98" s="1" t="s">
        <v>13</v>
      </c>
      <c r="D98" s="2">
        <v>2369127</v>
      </c>
      <c r="E98" s="3" t="s">
        <v>1022</v>
      </c>
    </row>
    <row r="99" spans="1:5" x14ac:dyDescent="0.3">
      <c r="A99" s="1" t="s">
        <v>393</v>
      </c>
      <c r="B99" s="1" t="s">
        <v>394</v>
      </c>
      <c r="C99" s="1" t="s">
        <v>13</v>
      </c>
      <c r="D99" s="2">
        <v>8688166</v>
      </c>
      <c r="E99" s="3" t="s">
        <v>1022</v>
      </c>
    </row>
    <row r="100" spans="1:5" x14ac:dyDescent="0.3">
      <c r="A100" s="1" t="s">
        <v>398</v>
      </c>
      <c r="B100" s="1" t="s">
        <v>399</v>
      </c>
      <c r="C100" s="1" t="s">
        <v>13</v>
      </c>
      <c r="D100" s="2">
        <v>1150704</v>
      </c>
      <c r="E100" s="3" t="s">
        <v>1022</v>
      </c>
    </row>
    <row r="101" spans="1:5" x14ac:dyDescent="0.3">
      <c r="A101" s="1" t="s">
        <v>402</v>
      </c>
      <c r="B101" s="1" t="s">
        <v>403</v>
      </c>
      <c r="C101" s="1" t="s">
        <v>13</v>
      </c>
      <c r="D101" s="2">
        <v>1457425</v>
      </c>
      <c r="E101" s="3" t="s">
        <v>1022</v>
      </c>
    </row>
    <row r="102" spans="1:5" x14ac:dyDescent="0.3">
      <c r="A102" s="1" t="s">
        <v>407</v>
      </c>
      <c r="B102" s="1" t="s">
        <v>408</v>
      </c>
      <c r="C102" s="1" t="s">
        <v>358</v>
      </c>
      <c r="D102" s="2">
        <v>22705</v>
      </c>
      <c r="E102" s="3" t="s">
        <v>1022</v>
      </c>
    </row>
    <row r="103" spans="1:5" x14ac:dyDescent="0.3">
      <c r="A103" s="1" t="s">
        <v>409</v>
      </c>
      <c r="B103" s="1" t="s">
        <v>410</v>
      </c>
      <c r="C103" s="1" t="s">
        <v>358</v>
      </c>
      <c r="D103" s="2">
        <v>210</v>
      </c>
      <c r="E103" s="3" t="s">
        <v>1022</v>
      </c>
    </row>
    <row r="104" spans="1:5" x14ac:dyDescent="0.3">
      <c r="A104" s="1" t="s">
        <v>411</v>
      </c>
      <c r="B104" s="1" t="s">
        <v>412</v>
      </c>
      <c r="C104" s="1" t="s">
        <v>358</v>
      </c>
      <c r="D104" s="2">
        <v>400</v>
      </c>
      <c r="E104" s="3" t="s">
        <v>1022</v>
      </c>
    </row>
    <row r="105" spans="1:5" x14ac:dyDescent="0.3">
      <c r="A105" s="1" t="s">
        <v>413</v>
      </c>
      <c r="B105" s="1" t="s">
        <v>414</v>
      </c>
      <c r="C105" s="1" t="s">
        <v>358</v>
      </c>
      <c r="D105" s="2">
        <v>185</v>
      </c>
      <c r="E105" s="3" t="s">
        <v>1022</v>
      </c>
    </row>
    <row r="106" spans="1:5" x14ac:dyDescent="0.3">
      <c r="A106" s="1" t="s">
        <v>415</v>
      </c>
      <c r="B106" s="1" t="s">
        <v>416</v>
      </c>
      <c r="C106" s="1" t="s">
        <v>358</v>
      </c>
      <c r="D106" s="2">
        <v>266</v>
      </c>
      <c r="E106" s="3" t="s">
        <v>1022</v>
      </c>
    </row>
    <row r="107" spans="1:5" x14ac:dyDescent="0.3">
      <c r="A107" s="1" t="s">
        <v>417</v>
      </c>
      <c r="B107" s="1" t="s">
        <v>418</v>
      </c>
      <c r="C107" s="1" t="s">
        <v>358</v>
      </c>
      <c r="D107" s="2">
        <v>4294</v>
      </c>
      <c r="E107" s="3" t="s">
        <v>1022</v>
      </c>
    </row>
    <row r="108" spans="1:5" x14ac:dyDescent="0.3">
      <c r="A108" s="1" t="s">
        <v>421</v>
      </c>
      <c r="B108" s="1" t="s">
        <v>422</v>
      </c>
      <c r="C108" s="1" t="s">
        <v>358</v>
      </c>
      <c r="D108" s="2">
        <v>5415</v>
      </c>
      <c r="E108" s="3" t="s">
        <v>1022</v>
      </c>
    </row>
    <row r="109" spans="1:5" x14ac:dyDescent="0.3">
      <c r="A109" s="1" t="s">
        <v>425</v>
      </c>
      <c r="B109" s="1" t="s">
        <v>426</v>
      </c>
      <c r="C109" s="1" t="s">
        <v>13</v>
      </c>
      <c r="D109" s="2">
        <v>86290</v>
      </c>
      <c r="E109" s="3" t="s">
        <v>1022</v>
      </c>
    </row>
    <row r="110" spans="1:5" x14ac:dyDescent="0.3">
      <c r="A110" s="1" t="s">
        <v>430</v>
      </c>
      <c r="B110" s="1" t="s">
        <v>431</v>
      </c>
      <c r="C110" s="1" t="s">
        <v>13</v>
      </c>
      <c r="D110" s="2">
        <v>186170</v>
      </c>
      <c r="E110" s="3" t="s">
        <v>1022</v>
      </c>
    </row>
    <row r="111" spans="1:5" x14ac:dyDescent="0.3">
      <c r="A111" s="1" t="s">
        <v>435</v>
      </c>
      <c r="B111" s="1" t="s">
        <v>384</v>
      </c>
      <c r="C111" s="1" t="s">
        <v>13</v>
      </c>
      <c r="D111" s="2">
        <v>2170145</v>
      </c>
      <c r="E111" s="3" t="s">
        <v>1022</v>
      </c>
    </row>
    <row r="112" spans="1:5" x14ac:dyDescent="0.3">
      <c r="A112" s="1" t="s">
        <v>439</v>
      </c>
      <c r="B112" s="1" t="s">
        <v>440</v>
      </c>
      <c r="C112" s="1" t="s">
        <v>13</v>
      </c>
      <c r="D112" s="2">
        <v>217170</v>
      </c>
      <c r="E112" s="3" t="s">
        <v>1022</v>
      </c>
    </row>
    <row r="113" spans="1:5" x14ac:dyDescent="0.3">
      <c r="A113" s="1" t="s">
        <v>442</v>
      </c>
      <c r="B113" s="1" t="s">
        <v>443</v>
      </c>
      <c r="C113" s="1" t="s">
        <v>13</v>
      </c>
      <c r="D113" s="2">
        <v>1019620</v>
      </c>
      <c r="E113" s="3" t="s">
        <v>1022</v>
      </c>
    </row>
    <row r="114" spans="1:5" x14ac:dyDescent="0.3">
      <c r="A114" s="1" t="s">
        <v>447</v>
      </c>
      <c r="B114" s="1" t="s">
        <v>448</v>
      </c>
      <c r="C114" s="1" t="s">
        <v>13</v>
      </c>
      <c r="D114" s="2">
        <v>8398254</v>
      </c>
      <c r="E114" s="3" t="s">
        <v>1022</v>
      </c>
    </row>
    <row r="115" spans="1:5" x14ac:dyDescent="0.3">
      <c r="A115" s="1" t="s">
        <v>452</v>
      </c>
      <c r="B115" s="1" t="s">
        <v>453</v>
      </c>
      <c r="C115" s="1" t="s">
        <v>19</v>
      </c>
      <c r="D115" s="2">
        <v>20000000</v>
      </c>
      <c r="E115" s="3" t="s">
        <v>1046</v>
      </c>
    </row>
    <row r="116" spans="1:5" x14ac:dyDescent="0.3">
      <c r="A116" s="1" t="s">
        <v>454</v>
      </c>
      <c r="B116" s="1" t="s">
        <v>455</v>
      </c>
      <c r="C116" s="1" t="s">
        <v>19</v>
      </c>
      <c r="D116" s="2">
        <v>13000000</v>
      </c>
      <c r="E116" s="3" t="s">
        <v>1046</v>
      </c>
    </row>
    <row r="117" spans="1:5" x14ac:dyDescent="0.3">
      <c r="A117" s="1" t="s">
        <v>456</v>
      </c>
      <c r="B117" s="1" t="s">
        <v>457</v>
      </c>
      <c r="C117" s="1" t="s">
        <v>19</v>
      </c>
      <c r="D117" s="2">
        <v>48000000</v>
      </c>
      <c r="E117" s="3" t="s">
        <v>1046</v>
      </c>
    </row>
    <row r="118" spans="1:5" x14ac:dyDescent="0.3">
      <c r="A118" s="1" t="s">
        <v>459</v>
      </c>
      <c r="B118" s="1" t="s">
        <v>460</v>
      </c>
      <c r="C118" s="1" t="s">
        <v>19</v>
      </c>
      <c r="D118" s="2">
        <v>7000000</v>
      </c>
      <c r="E118" s="3" t="s">
        <v>1046</v>
      </c>
    </row>
    <row r="119" spans="1:5" x14ac:dyDescent="0.3">
      <c r="A119" s="1" t="s">
        <v>462</v>
      </c>
      <c r="B119" s="1" t="s">
        <v>463</v>
      </c>
      <c r="C119" s="1" t="s">
        <v>19</v>
      </c>
      <c r="D119" s="2">
        <v>48000000</v>
      </c>
      <c r="E119" s="3" t="s">
        <v>1046</v>
      </c>
    </row>
    <row r="120" spans="1:5" x14ac:dyDescent="0.3">
      <c r="A120" s="1" t="s">
        <v>464</v>
      </c>
      <c r="B120" s="1" t="s">
        <v>465</v>
      </c>
      <c r="C120" s="1" t="s">
        <v>73</v>
      </c>
      <c r="D120" s="2">
        <v>2000000</v>
      </c>
      <c r="E120" s="3" t="s">
        <v>1046</v>
      </c>
    </row>
    <row r="121" spans="1:5" x14ac:dyDescent="0.3">
      <c r="A121" s="1" t="s">
        <v>466</v>
      </c>
      <c r="B121" s="1" t="s">
        <v>467</v>
      </c>
      <c r="C121" s="1" t="s">
        <v>73</v>
      </c>
      <c r="D121" s="2">
        <v>4500000</v>
      </c>
      <c r="E121" s="3" t="s">
        <v>1046</v>
      </c>
    </row>
    <row r="122" spans="1:5" x14ac:dyDescent="0.3">
      <c r="A122" s="1" t="s">
        <v>469</v>
      </c>
      <c r="B122" s="1" t="s">
        <v>470</v>
      </c>
      <c r="C122" s="1" t="s">
        <v>19</v>
      </c>
      <c r="D122" s="2">
        <v>4400000</v>
      </c>
      <c r="E122" s="3" t="s">
        <v>1046</v>
      </c>
    </row>
    <row r="123" spans="1:5" x14ac:dyDescent="0.3">
      <c r="A123" s="1" t="s">
        <v>471</v>
      </c>
      <c r="B123" s="1" t="s">
        <v>472</v>
      </c>
      <c r="C123" s="1" t="s">
        <v>19</v>
      </c>
      <c r="D123" s="2">
        <v>9950000</v>
      </c>
      <c r="E123" s="3" t="s">
        <v>1046</v>
      </c>
    </row>
    <row r="124" spans="1:5" x14ac:dyDescent="0.3">
      <c r="A124" s="1" t="s">
        <v>474</v>
      </c>
      <c r="B124" s="1" t="s">
        <v>475</v>
      </c>
      <c r="C124" s="1" t="s">
        <v>73</v>
      </c>
      <c r="D124" s="2">
        <v>12500000</v>
      </c>
      <c r="E124" s="3" t="s">
        <v>1046</v>
      </c>
    </row>
    <row r="125" spans="1:5" x14ac:dyDescent="0.3">
      <c r="A125" s="1" t="s">
        <v>477</v>
      </c>
      <c r="B125" s="1" t="s">
        <v>478</v>
      </c>
      <c r="C125" s="1" t="s">
        <v>19</v>
      </c>
      <c r="D125" s="2">
        <v>19000000</v>
      </c>
      <c r="E125" s="3" t="s">
        <v>1046</v>
      </c>
    </row>
    <row r="126" spans="1:5" x14ac:dyDescent="0.3">
      <c r="A126" s="1" t="s">
        <v>480</v>
      </c>
      <c r="B126" s="1" t="s">
        <v>481</v>
      </c>
      <c r="C126" s="1" t="s">
        <v>19</v>
      </c>
      <c r="D126" s="2">
        <v>29000000</v>
      </c>
      <c r="E126" s="3" t="s">
        <v>1046</v>
      </c>
    </row>
    <row r="127" spans="1:5" x14ac:dyDescent="0.3">
      <c r="A127" s="1" t="s">
        <v>483</v>
      </c>
      <c r="B127" s="1" t="s">
        <v>484</v>
      </c>
      <c r="C127" s="1" t="s">
        <v>19</v>
      </c>
      <c r="D127" s="2">
        <v>34000000</v>
      </c>
      <c r="E127" s="3" t="s">
        <v>1046</v>
      </c>
    </row>
    <row r="128" spans="1:5" x14ac:dyDescent="0.3">
      <c r="A128" s="1" t="s">
        <v>487</v>
      </c>
      <c r="B128" s="1" t="s">
        <v>488</v>
      </c>
      <c r="C128" s="1" t="s">
        <v>19</v>
      </c>
      <c r="D128" s="2">
        <v>17500000</v>
      </c>
      <c r="E128" s="3" t="s">
        <v>1046</v>
      </c>
    </row>
    <row r="129" spans="1:5" x14ac:dyDescent="0.3">
      <c r="A129" s="1" t="s">
        <v>490</v>
      </c>
      <c r="B129" s="1" t="s">
        <v>491</v>
      </c>
      <c r="C129" s="1" t="s">
        <v>19</v>
      </c>
      <c r="D129" s="2">
        <v>11900000</v>
      </c>
      <c r="E129" s="3" t="s">
        <v>1046</v>
      </c>
    </row>
    <row r="130" spans="1:5" x14ac:dyDescent="0.3">
      <c r="A130" s="1" t="s">
        <v>493</v>
      </c>
      <c r="B130" s="1" t="s">
        <v>494</v>
      </c>
      <c r="C130" s="1" t="s">
        <v>358</v>
      </c>
      <c r="D130" s="2">
        <v>1800000</v>
      </c>
      <c r="E130" s="3" t="s">
        <v>1046</v>
      </c>
    </row>
    <row r="131" spans="1:5" x14ac:dyDescent="0.3">
      <c r="A131" s="1" t="s">
        <v>495</v>
      </c>
      <c r="B131" s="1" t="s">
        <v>496</v>
      </c>
      <c r="C131" s="1" t="s">
        <v>358</v>
      </c>
      <c r="D131" s="2">
        <v>2250000</v>
      </c>
      <c r="E131" s="3" t="s">
        <v>1046</v>
      </c>
    </row>
    <row r="132" spans="1:5" x14ac:dyDescent="0.3">
      <c r="A132" s="1" t="s">
        <v>497</v>
      </c>
      <c r="B132" s="1" t="s">
        <v>498</v>
      </c>
      <c r="C132" s="1" t="s">
        <v>358</v>
      </c>
      <c r="D132" s="2">
        <v>300000</v>
      </c>
      <c r="E132" s="3" t="s">
        <v>1046</v>
      </c>
    </row>
    <row r="133" spans="1:5" x14ac:dyDescent="0.3">
      <c r="A133" s="1" t="s">
        <v>500</v>
      </c>
      <c r="B133" s="1" t="s">
        <v>501</v>
      </c>
      <c r="C133" s="1" t="s">
        <v>358</v>
      </c>
      <c r="D133" s="2">
        <v>900000</v>
      </c>
      <c r="E133" s="3" t="s">
        <v>1046</v>
      </c>
    </row>
    <row r="134" spans="1:5" x14ac:dyDescent="0.3">
      <c r="A134" s="1" t="s">
        <v>502</v>
      </c>
      <c r="B134" s="1" t="s">
        <v>503</v>
      </c>
      <c r="C134" s="1" t="s">
        <v>19</v>
      </c>
      <c r="D134" s="2">
        <v>33000000</v>
      </c>
      <c r="E134" s="3" t="s">
        <v>1046</v>
      </c>
    </row>
    <row r="135" spans="1:5" x14ac:dyDescent="0.3">
      <c r="A135" s="1" t="s">
        <v>504</v>
      </c>
      <c r="B135" s="1" t="s">
        <v>505</v>
      </c>
      <c r="C135" s="1" t="s">
        <v>19</v>
      </c>
      <c r="D135" s="2">
        <v>24500000</v>
      </c>
      <c r="E135" s="3" t="s">
        <v>1046</v>
      </c>
    </row>
    <row r="136" spans="1:5" x14ac:dyDescent="0.3">
      <c r="A136" s="1" t="s">
        <v>506</v>
      </c>
      <c r="B136" s="1" t="s">
        <v>507</v>
      </c>
      <c r="C136" s="1" t="s">
        <v>358</v>
      </c>
      <c r="D136" s="2">
        <v>13000000</v>
      </c>
      <c r="E136" s="3" t="s">
        <v>1046</v>
      </c>
    </row>
    <row r="137" spans="1:5" x14ac:dyDescent="0.3">
      <c r="A137" s="1" t="s">
        <v>508</v>
      </c>
      <c r="B137" s="1" t="s">
        <v>509</v>
      </c>
      <c r="C137" s="1" t="s">
        <v>358</v>
      </c>
      <c r="D137" s="2">
        <v>2350000</v>
      </c>
      <c r="E137" s="3" t="s">
        <v>1046</v>
      </c>
    </row>
    <row r="138" spans="1:5" x14ac:dyDescent="0.3">
      <c r="A138" s="1" t="s">
        <v>510</v>
      </c>
      <c r="B138" s="1" t="s">
        <v>511</v>
      </c>
      <c r="C138" s="1" t="s">
        <v>19</v>
      </c>
      <c r="D138" s="2">
        <v>86000000</v>
      </c>
      <c r="E138" s="3" t="s">
        <v>1046</v>
      </c>
    </row>
    <row r="139" spans="1:5" x14ac:dyDescent="0.3">
      <c r="A139" s="1" t="s">
        <v>514</v>
      </c>
      <c r="B139" s="1" t="s">
        <v>515</v>
      </c>
      <c r="C139" s="1" t="s">
        <v>19</v>
      </c>
      <c r="D139" s="2">
        <v>99000000</v>
      </c>
      <c r="E139" s="3" t="s">
        <v>1046</v>
      </c>
    </row>
    <row r="140" spans="1:5" x14ac:dyDescent="0.3">
      <c r="A140" s="1" t="s">
        <v>517</v>
      </c>
      <c r="B140" s="1" t="s">
        <v>518</v>
      </c>
      <c r="C140" s="1" t="s">
        <v>19</v>
      </c>
      <c r="D140" s="2">
        <v>109000000</v>
      </c>
      <c r="E140" s="3" t="s">
        <v>1046</v>
      </c>
    </row>
    <row r="141" spans="1:5" x14ac:dyDescent="0.3">
      <c r="A141" s="1" t="s">
        <v>520</v>
      </c>
      <c r="B141" s="1" t="s">
        <v>521</v>
      </c>
      <c r="C141" s="1" t="s">
        <v>19</v>
      </c>
      <c r="D141" s="2">
        <v>395000000</v>
      </c>
      <c r="E141" s="3" t="s">
        <v>1046</v>
      </c>
    </row>
    <row r="142" spans="1:5" x14ac:dyDescent="0.3">
      <c r="A142" s="1" t="s">
        <v>524</v>
      </c>
      <c r="B142" s="1" t="s">
        <v>525</v>
      </c>
      <c r="C142" s="1" t="s">
        <v>13</v>
      </c>
      <c r="D142" s="2">
        <v>355000000</v>
      </c>
      <c r="E142" s="3" t="s">
        <v>1046</v>
      </c>
    </row>
    <row r="143" spans="1:5" x14ac:dyDescent="0.3">
      <c r="A143" s="1" t="s">
        <v>528</v>
      </c>
      <c r="B143" s="1" t="s">
        <v>529</v>
      </c>
      <c r="C143" s="1" t="s">
        <v>19</v>
      </c>
      <c r="D143" s="2">
        <v>18265000</v>
      </c>
      <c r="E143" s="3" t="s">
        <v>1046</v>
      </c>
    </row>
    <row r="144" spans="1:5" x14ac:dyDescent="0.3">
      <c r="A144" s="1" t="s">
        <v>530</v>
      </c>
      <c r="B144" s="1" t="s">
        <v>531</v>
      </c>
      <c r="C144" s="1" t="s">
        <v>19</v>
      </c>
      <c r="D144" s="2">
        <v>27300000</v>
      </c>
      <c r="E144" s="3" t="s">
        <v>1046</v>
      </c>
    </row>
    <row r="145" spans="1:5" x14ac:dyDescent="0.3">
      <c r="A145" s="1" t="s">
        <v>532</v>
      </c>
      <c r="B145" s="1" t="s">
        <v>533</v>
      </c>
      <c r="C145" s="1" t="s">
        <v>19</v>
      </c>
      <c r="D145" s="2">
        <v>36000000</v>
      </c>
      <c r="E145" s="3" t="s">
        <v>1046</v>
      </c>
    </row>
    <row r="146" spans="1:5" x14ac:dyDescent="0.3">
      <c r="A146" s="1" t="s">
        <v>535</v>
      </c>
      <c r="B146" s="1" t="s">
        <v>536</v>
      </c>
      <c r="C146" s="1" t="s">
        <v>19</v>
      </c>
      <c r="D146" s="2">
        <v>45000000</v>
      </c>
      <c r="E146" s="3" t="s">
        <v>1046</v>
      </c>
    </row>
    <row r="147" spans="1:5" x14ac:dyDescent="0.3">
      <c r="A147" s="1" t="s">
        <v>539</v>
      </c>
      <c r="B147" s="1" t="s">
        <v>540</v>
      </c>
      <c r="C147" s="1" t="s">
        <v>19</v>
      </c>
      <c r="D147" s="2">
        <v>32000000</v>
      </c>
      <c r="E147" s="3" t="s">
        <v>1046</v>
      </c>
    </row>
    <row r="148" spans="1:5" x14ac:dyDescent="0.3">
      <c r="A148" s="1" t="s">
        <v>542</v>
      </c>
      <c r="B148" s="1" t="s">
        <v>543</v>
      </c>
      <c r="C148" s="1" t="s">
        <v>19</v>
      </c>
      <c r="D148" s="2">
        <v>9950000</v>
      </c>
      <c r="E148" s="3" t="s">
        <v>1046</v>
      </c>
    </row>
    <row r="149" spans="1:5" x14ac:dyDescent="0.3">
      <c r="A149" s="1" t="s">
        <v>544</v>
      </c>
      <c r="B149" s="1" t="s">
        <v>545</v>
      </c>
      <c r="C149" s="1" t="s">
        <v>19</v>
      </c>
      <c r="D149" s="2">
        <v>27000000</v>
      </c>
      <c r="E149" s="3" t="s">
        <v>1046</v>
      </c>
    </row>
    <row r="150" spans="1:5" x14ac:dyDescent="0.3">
      <c r="A150" s="1" t="s">
        <v>546</v>
      </c>
      <c r="B150" s="1" t="s">
        <v>547</v>
      </c>
      <c r="C150" s="1" t="s">
        <v>13</v>
      </c>
      <c r="D150" s="2">
        <v>360000000</v>
      </c>
      <c r="E150" s="3" t="s">
        <v>1046</v>
      </c>
    </row>
    <row r="151" spans="1:5" x14ac:dyDescent="0.3">
      <c r="A151" s="1" t="s">
        <v>549</v>
      </c>
      <c r="B151" s="1" t="s">
        <v>550</v>
      </c>
      <c r="C151" s="1" t="s">
        <v>13</v>
      </c>
      <c r="D151" s="2">
        <v>127500000</v>
      </c>
      <c r="E151" s="3" t="s">
        <v>1046</v>
      </c>
    </row>
    <row r="152" spans="1:5" x14ac:dyDescent="0.3">
      <c r="A152" s="1" t="s">
        <v>552</v>
      </c>
      <c r="B152" s="1" t="s">
        <v>553</v>
      </c>
      <c r="C152" s="1" t="s">
        <v>13</v>
      </c>
      <c r="D152" s="2">
        <v>305000000</v>
      </c>
      <c r="E152" s="3" t="s">
        <v>1046</v>
      </c>
    </row>
    <row r="153" spans="1:5" x14ac:dyDescent="0.3">
      <c r="A153" s="1" t="s">
        <v>556</v>
      </c>
      <c r="B153" s="1" t="s">
        <v>557</v>
      </c>
      <c r="C153" s="1" t="s">
        <v>13</v>
      </c>
      <c r="D153" s="2">
        <v>810000000</v>
      </c>
      <c r="E153" s="3" t="s">
        <v>1046</v>
      </c>
    </row>
    <row r="154" spans="1:5" x14ac:dyDescent="0.3">
      <c r="A154" s="1" t="s">
        <v>561</v>
      </c>
      <c r="B154" s="1" t="s">
        <v>562</v>
      </c>
      <c r="C154" s="1" t="s">
        <v>13</v>
      </c>
      <c r="D154" s="2">
        <v>300000000</v>
      </c>
      <c r="E154" s="3" t="s">
        <v>1046</v>
      </c>
    </row>
    <row r="155" spans="1:5" x14ac:dyDescent="0.3">
      <c r="A155" s="1" t="s">
        <v>571</v>
      </c>
      <c r="B155" s="1" t="s">
        <v>572</v>
      </c>
      <c r="C155" s="1" t="s">
        <v>13</v>
      </c>
      <c r="D155" s="2">
        <v>21200000</v>
      </c>
      <c r="E155" s="3" t="s">
        <v>1046</v>
      </c>
    </row>
    <row r="156" spans="1:5" x14ac:dyDescent="0.3">
      <c r="A156" s="1" t="s">
        <v>574</v>
      </c>
      <c r="B156" s="1" t="s">
        <v>575</v>
      </c>
      <c r="C156" s="1" t="s">
        <v>13</v>
      </c>
      <c r="D156" s="2">
        <v>32000000</v>
      </c>
      <c r="E156" s="3" t="s">
        <v>1046</v>
      </c>
    </row>
    <row r="157" spans="1:5" x14ac:dyDescent="0.3">
      <c r="A157" s="1" t="s">
        <v>577</v>
      </c>
      <c r="B157" s="1" t="s">
        <v>578</v>
      </c>
      <c r="C157" s="1" t="s">
        <v>13</v>
      </c>
      <c r="D157" s="2">
        <v>41000000</v>
      </c>
      <c r="E157" s="3" t="s">
        <v>1046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EA2C-F793-4A07-86F2-2EE800072B2C}">
  <dimension ref="A1:J233"/>
  <sheetViews>
    <sheetView workbookViewId="0">
      <pane ySplit="1" topLeftCell="A210" activePane="bottomLeft" state="frozen"/>
      <selection pane="bottomLeft" activeCell="B234" sqref="B234"/>
    </sheetView>
  </sheetViews>
  <sheetFormatPr baseColWidth="10" defaultRowHeight="14.4" x14ac:dyDescent="0.3"/>
  <cols>
    <col min="1" max="1" width="10.88671875" bestFit="1" customWidth="1"/>
    <col min="2" max="2" width="53.109375" bestFit="1" customWidth="1"/>
    <col min="3" max="3" width="22.109375" bestFit="1" customWidth="1"/>
    <col min="4" max="4" width="14.33203125" bestFit="1" customWidth="1"/>
    <col min="5" max="5" width="15.6640625" bestFit="1" customWidth="1"/>
    <col min="6" max="6" width="18.109375" bestFit="1" customWidth="1"/>
    <col min="7" max="7" width="14.88671875" bestFit="1" customWidth="1"/>
    <col min="8" max="8" width="17.109375" bestFit="1" customWidth="1"/>
    <col min="9" max="9" width="19.6640625" bestFit="1" customWidth="1"/>
    <col min="10" max="10" width="11.44140625" bestFit="1" customWidth="1"/>
  </cols>
  <sheetData>
    <row r="1" spans="1:10" ht="19.95" customHeight="1" x14ac:dyDescent="0.3">
      <c r="A1" s="14" t="s">
        <v>647</v>
      </c>
      <c r="B1" s="14" t="s">
        <v>648</v>
      </c>
      <c r="C1" s="14" t="s">
        <v>649</v>
      </c>
      <c r="D1" s="14" t="s">
        <v>650</v>
      </c>
      <c r="E1" s="14" t="s">
        <v>651</v>
      </c>
      <c r="F1" s="14" t="s">
        <v>652</v>
      </c>
      <c r="G1" s="14" t="s">
        <v>653</v>
      </c>
      <c r="H1" s="14" t="s">
        <v>654</v>
      </c>
      <c r="I1" s="15" t="s">
        <v>1047</v>
      </c>
      <c r="J1" s="15" t="s">
        <v>1019</v>
      </c>
    </row>
    <row r="2" spans="1:10" ht="18" customHeight="1" x14ac:dyDescent="0.3">
      <c r="A2" s="19">
        <v>46143</v>
      </c>
      <c r="B2" t="s">
        <v>656</v>
      </c>
      <c r="C2" t="s">
        <v>657</v>
      </c>
      <c r="D2" s="17">
        <v>985000</v>
      </c>
      <c r="E2" s="18"/>
      <c r="F2" s="2">
        <v>268</v>
      </c>
      <c r="G2" t="s">
        <v>658</v>
      </c>
      <c r="H2" s="2" t="s">
        <v>659</v>
      </c>
      <c r="I2" s="16" t="s">
        <v>407</v>
      </c>
      <c r="J2" s="20" t="s">
        <v>358</v>
      </c>
    </row>
    <row r="3" spans="1:10" ht="18" customHeight="1" x14ac:dyDescent="0.3">
      <c r="A3" s="19">
        <v>46143</v>
      </c>
      <c r="B3" t="s">
        <v>660</v>
      </c>
      <c r="C3" t="s">
        <v>661</v>
      </c>
      <c r="D3" s="17">
        <v>5292000</v>
      </c>
      <c r="E3" s="18"/>
      <c r="F3" s="2">
        <v>269</v>
      </c>
      <c r="G3" t="s">
        <v>658</v>
      </c>
      <c r="H3" s="2" t="s">
        <v>659</v>
      </c>
      <c r="I3" s="16" t="s">
        <v>407</v>
      </c>
      <c r="J3" s="20" t="s">
        <v>358</v>
      </c>
    </row>
    <row r="4" spans="1:10" ht="18" customHeight="1" x14ac:dyDescent="0.3">
      <c r="A4" s="19">
        <v>46143</v>
      </c>
      <c r="B4" t="s">
        <v>662</v>
      </c>
      <c r="C4" t="s">
        <v>663</v>
      </c>
      <c r="D4" s="17">
        <v>2180000</v>
      </c>
      <c r="E4" s="18"/>
      <c r="F4" s="2">
        <v>270</v>
      </c>
      <c r="G4" t="s">
        <v>658</v>
      </c>
      <c r="H4" s="2" t="s">
        <v>659</v>
      </c>
      <c r="I4" s="16" t="s">
        <v>421</v>
      </c>
      <c r="J4" s="20" t="s">
        <v>358</v>
      </c>
    </row>
    <row r="5" spans="1:10" ht="18" customHeight="1" x14ac:dyDescent="0.3">
      <c r="A5" s="19">
        <v>46143</v>
      </c>
      <c r="B5" t="s">
        <v>664</v>
      </c>
      <c r="C5" t="s">
        <v>665</v>
      </c>
      <c r="D5" s="17"/>
      <c r="E5" s="18">
        <v>1808</v>
      </c>
      <c r="F5" s="2">
        <v>271</v>
      </c>
      <c r="G5" t="s">
        <v>658</v>
      </c>
      <c r="H5" s="2" t="s">
        <v>659</v>
      </c>
      <c r="I5" s="16" t="s">
        <v>407</v>
      </c>
      <c r="J5" s="20" t="s">
        <v>358</v>
      </c>
    </row>
    <row r="6" spans="1:10" ht="18" customHeight="1" x14ac:dyDescent="0.3">
      <c r="A6" s="19">
        <v>46174</v>
      </c>
      <c r="B6" t="s">
        <v>667</v>
      </c>
      <c r="C6" t="s">
        <v>668</v>
      </c>
      <c r="D6" s="17"/>
      <c r="E6" s="18">
        <v>6850.19</v>
      </c>
      <c r="F6" s="2">
        <v>272</v>
      </c>
      <c r="G6" t="s">
        <v>669</v>
      </c>
      <c r="H6" s="2"/>
      <c r="I6" s="16" t="s">
        <v>1048</v>
      </c>
      <c r="J6" s="20" t="s">
        <v>1048</v>
      </c>
    </row>
    <row r="7" spans="1:10" ht="18" customHeight="1" x14ac:dyDescent="0.3">
      <c r="A7" s="19">
        <v>46235</v>
      </c>
      <c r="B7" t="s">
        <v>671</v>
      </c>
      <c r="C7" t="s">
        <v>672</v>
      </c>
      <c r="D7" s="17">
        <v>6051000</v>
      </c>
      <c r="E7" s="18"/>
      <c r="F7" s="2">
        <v>273</v>
      </c>
      <c r="G7" t="s">
        <v>658</v>
      </c>
      <c r="H7" s="2" t="s">
        <v>659</v>
      </c>
      <c r="I7" s="16" t="s">
        <v>407</v>
      </c>
      <c r="J7" s="20" t="s">
        <v>358</v>
      </c>
    </row>
    <row r="8" spans="1:10" ht="18" customHeight="1" x14ac:dyDescent="0.3">
      <c r="A8" s="19">
        <v>46235</v>
      </c>
      <c r="B8" t="s">
        <v>673</v>
      </c>
      <c r="C8" t="s">
        <v>674</v>
      </c>
      <c r="D8" s="17">
        <v>985000</v>
      </c>
      <c r="E8" s="18"/>
      <c r="F8" s="2">
        <v>274</v>
      </c>
      <c r="G8" t="s">
        <v>658</v>
      </c>
      <c r="H8" s="2" t="s">
        <v>659</v>
      </c>
      <c r="I8" s="16" t="s">
        <v>407</v>
      </c>
      <c r="J8" s="20" t="s">
        <v>358</v>
      </c>
    </row>
    <row r="9" spans="1:10" ht="18" customHeight="1" x14ac:dyDescent="0.3">
      <c r="A9" s="19">
        <v>46235</v>
      </c>
      <c r="B9" t="s">
        <v>675</v>
      </c>
      <c r="C9" t="s">
        <v>661</v>
      </c>
      <c r="D9" s="17">
        <v>12348000</v>
      </c>
      <c r="E9" s="18"/>
      <c r="F9" s="2">
        <v>275</v>
      </c>
      <c r="G9" t="s">
        <v>658</v>
      </c>
      <c r="H9" s="2" t="s">
        <v>659</v>
      </c>
      <c r="I9" s="16" t="s">
        <v>407</v>
      </c>
      <c r="J9" s="20" t="s">
        <v>358</v>
      </c>
    </row>
    <row r="10" spans="1:10" ht="18" customHeight="1" x14ac:dyDescent="0.3">
      <c r="A10" s="19">
        <v>46266</v>
      </c>
      <c r="B10" t="s">
        <v>677</v>
      </c>
      <c r="C10" t="s">
        <v>678</v>
      </c>
      <c r="D10" s="17">
        <v>550000</v>
      </c>
      <c r="E10" s="18"/>
      <c r="F10" s="2">
        <v>276</v>
      </c>
      <c r="G10" t="s">
        <v>679</v>
      </c>
      <c r="H10" s="2" t="s">
        <v>680</v>
      </c>
      <c r="I10" s="16" t="s">
        <v>407</v>
      </c>
      <c r="J10" s="20" t="s">
        <v>358</v>
      </c>
    </row>
    <row r="11" spans="1:10" ht="18" customHeight="1" x14ac:dyDescent="0.3">
      <c r="A11" s="19">
        <v>46266</v>
      </c>
      <c r="B11" t="s">
        <v>681</v>
      </c>
      <c r="C11" t="s">
        <v>682</v>
      </c>
      <c r="D11" s="17">
        <v>57590000</v>
      </c>
      <c r="E11" s="18"/>
      <c r="F11" s="2">
        <v>277</v>
      </c>
      <c r="G11" t="s">
        <v>679</v>
      </c>
      <c r="H11" s="2" t="s">
        <v>683</v>
      </c>
      <c r="I11" s="16" t="s">
        <v>99</v>
      </c>
      <c r="J11" s="20" t="s">
        <v>19</v>
      </c>
    </row>
    <row r="12" spans="1:10" ht="18" customHeight="1" x14ac:dyDescent="0.3">
      <c r="A12" s="2"/>
      <c r="B12" t="s">
        <v>685</v>
      </c>
      <c r="C12" t="s">
        <v>685</v>
      </c>
      <c r="D12" s="17"/>
      <c r="E12" s="18"/>
      <c r="F12" s="2">
        <v>278</v>
      </c>
      <c r="H12" s="2"/>
      <c r="I12" s="16" t="s">
        <v>1048</v>
      </c>
      <c r="J12" s="20" t="s">
        <v>1048</v>
      </c>
    </row>
    <row r="13" spans="1:10" ht="18" customHeight="1" x14ac:dyDescent="0.3">
      <c r="A13" s="2"/>
      <c r="B13" t="s">
        <v>685</v>
      </c>
      <c r="C13" t="s">
        <v>685</v>
      </c>
      <c r="D13" s="17"/>
      <c r="E13" s="18"/>
      <c r="F13" s="2">
        <v>279</v>
      </c>
      <c r="H13" s="2"/>
      <c r="I13" s="16" t="s">
        <v>1048</v>
      </c>
      <c r="J13" s="20" t="s">
        <v>1048</v>
      </c>
    </row>
    <row r="14" spans="1:10" ht="18" customHeight="1" x14ac:dyDescent="0.3">
      <c r="A14" s="2" t="s">
        <v>697</v>
      </c>
      <c r="B14" t="s">
        <v>686</v>
      </c>
      <c r="C14" t="s">
        <v>687</v>
      </c>
      <c r="D14" s="17">
        <v>9590000</v>
      </c>
      <c r="E14" s="18"/>
      <c r="F14" s="2">
        <v>280</v>
      </c>
      <c r="G14" t="s">
        <v>679</v>
      </c>
      <c r="H14" s="2" t="s">
        <v>659</v>
      </c>
      <c r="I14" s="16" t="s">
        <v>1049</v>
      </c>
      <c r="J14" s="20" t="s">
        <v>19</v>
      </c>
    </row>
    <row r="15" spans="1:10" ht="18" customHeight="1" x14ac:dyDescent="0.3">
      <c r="A15" s="19">
        <v>46357</v>
      </c>
      <c r="B15" t="s">
        <v>689</v>
      </c>
      <c r="C15" t="s">
        <v>682</v>
      </c>
      <c r="D15" s="17">
        <v>7900000</v>
      </c>
      <c r="E15" s="18"/>
      <c r="F15" s="2">
        <v>281</v>
      </c>
      <c r="G15" t="s">
        <v>679</v>
      </c>
      <c r="H15" s="2" t="s">
        <v>683</v>
      </c>
      <c r="I15" s="16" t="s">
        <v>462</v>
      </c>
      <c r="J15" s="20" t="s">
        <v>19</v>
      </c>
    </row>
    <row r="16" spans="1:10" ht="18" customHeight="1" x14ac:dyDescent="0.3">
      <c r="A16" s="19">
        <v>46357</v>
      </c>
      <c r="B16" t="s">
        <v>690</v>
      </c>
      <c r="C16" t="s">
        <v>665</v>
      </c>
      <c r="D16" s="17"/>
      <c r="E16" s="18">
        <v>2298</v>
      </c>
      <c r="F16" s="2">
        <v>282</v>
      </c>
      <c r="G16" t="s">
        <v>658</v>
      </c>
      <c r="H16" s="2" t="s">
        <v>659</v>
      </c>
      <c r="I16" s="16" t="s">
        <v>407</v>
      </c>
      <c r="J16" s="20" t="s">
        <v>358</v>
      </c>
    </row>
    <row r="17" spans="1:10" ht="18" customHeight="1" x14ac:dyDescent="0.3">
      <c r="A17" s="19">
        <v>46357</v>
      </c>
      <c r="B17" t="s">
        <v>691</v>
      </c>
      <c r="C17" t="s">
        <v>692</v>
      </c>
      <c r="D17" s="17">
        <v>995000</v>
      </c>
      <c r="E17" s="18"/>
      <c r="F17" s="2">
        <v>283</v>
      </c>
      <c r="G17" t="s">
        <v>679</v>
      </c>
      <c r="H17" s="2" t="s">
        <v>659</v>
      </c>
      <c r="I17" s="16" t="s">
        <v>407</v>
      </c>
      <c r="J17" s="20" t="s">
        <v>358</v>
      </c>
    </row>
    <row r="18" spans="1:10" ht="18" customHeight="1" x14ac:dyDescent="0.3">
      <c r="A18" s="19">
        <v>46357</v>
      </c>
      <c r="B18" t="s">
        <v>693</v>
      </c>
      <c r="C18" t="s">
        <v>668</v>
      </c>
      <c r="D18" s="17"/>
      <c r="E18" s="18">
        <v>1400</v>
      </c>
      <c r="F18" s="2">
        <v>284</v>
      </c>
      <c r="H18" s="2"/>
      <c r="I18" s="16" t="s">
        <v>1048</v>
      </c>
      <c r="J18" s="20" t="s">
        <v>1048</v>
      </c>
    </row>
    <row r="19" spans="1:10" ht="18" customHeight="1" x14ac:dyDescent="0.3">
      <c r="A19" s="19">
        <v>46357</v>
      </c>
      <c r="B19" t="s">
        <v>694</v>
      </c>
      <c r="C19" t="s">
        <v>661</v>
      </c>
      <c r="D19" s="17">
        <v>3528000</v>
      </c>
      <c r="E19" s="18"/>
      <c r="F19" s="2">
        <v>285</v>
      </c>
      <c r="G19" t="s">
        <v>658</v>
      </c>
      <c r="H19" s="2" t="s">
        <v>659</v>
      </c>
      <c r="I19" s="16" t="s">
        <v>407</v>
      </c>
      <c r="J19" s="20" t="s">
        <v>358</v>
      </c>
    </row>
    <row r="20" spans="1:10" ht="18" customHeight="1" x14ac:dyDescent="0.3">
      <c r="A20" s="19">
        <v>46357</v>
      </c>
      <c r="B20" t="s">
        <v>695</v>
      </c>
      <c r="C20" t="s">
        <v>696</v>
      </c>
      <c r="D20" s="17">
        <v>4320000</v>
      </c>
      <c r="E20" s="18"/>
      <c r="F20" s="2">
        <v>286</v>
      </c>
      <c r="G20" t="s">
        <v>658</v>
      </c>
      <c r="H20" s="2" t="s">
        <v>659</v>
      </c>
      <c r="I20" s="16" t="s">
        <v>407</v>
      </c>
      <c r="J20" s="20" t="s">
        <v>358</v>
      </c>
    </row>
    <row r="21" spans="1:10" ht="18" customHeight="1" x14ac:dyDescent="0.3">
      <c r="A21" s="2" t="s">
        <v>697</v>
      </c>
      <c r="B21" t="s">
        <v>698</v>
      </c>
      <c r="C21" t="s">
        <v>699</v>
      </c>
      <c r="D21" s="17">
        <v>1990000</v>
      </c>
      <c r="E21" s="18"/>
      <c r="F21" s="2">
        <v>287</v>
      </c>
      <c r="G21" t="s">
        <v>679</v>
      </c>
      <c r="H21" s="2" t="s">
        <v>659</v>
      </c>
      <c r="I21" s="16" t="s">
        <v>407</v>
      </c>
      <c r="J21" s="20" t="s">
        <v>358</v>
      </c>
    </row>
    <row r="22" spans="1:10" ht="18" customHeight="1" x14ac:dyDescent="0.3">
      <c r="A22" s="2" t="s">
        <v>697</v>
      </c>
      <c r="B22" t="s">
        <v>700</v>
      </c>
      <c r="C22" t="s">
        <v>701</v>
      </c>
      <c r="D22" s="17">
        <v>3990000</v>
      </c>
      <c r="E22" s="18"/>
      <c r="F22" s="2">
        <v>288</v>
      </c>
      <c r="G22" t="s">
        <v>679</v>
      </c>
      <c r="H22" s="2" t="s">
        <v>659</v>
      </c>
      <c r="I22" s="16" t="s">
        <v>612</v>
      </c>
      <c r="J22" s="20" t="s">
        <v>19</v>
      </c>
    </row>
    <row r="23" spans="1:10" ht="18" customHeight="1" x14ac:dyDescent="0.3">
      <c r="A23" s="2" t="s">
        <v>697</v>
      </c>
      <c r="B23" t="s">
        <v>702</v>
      </c>
      <c r="C23" t="s">
        <v>703</v>
      </c>
      <c r="D23" s="17">
        <v>5190000</v>
      </c>
      <c r="E23" s="18"/>
      <c r="F23" s="2">
        <v>289</v>
      </c>
      <c r="G23" t="s">
        <v>679</v>
      </c>
      <c r="H23" s="2" t="s">
        <v>680</v>
      </c>
      <c r="I23" s="16" t="s">
        <v>583</v>
      </c>
      <c r="J23" s="20" t="s">
        <v>19</v>
      </c>
    </row>
    <row r="24" spans="1:10" ht="18" customHeight="1" x14ac:dyDescent="0.3">
      <c r="A24" s="2" t="s">
        <v>697</v>
      </c>
      <c r="B24" t="s">
        <v>691</v>
      </c>
      <c r="C24" t="s">
        <v>704</v>
      </c>
      <c r="D24" s="17">
        <v>939000</v>
      </c>
      <c r="E24" s="18"/>
      <c r="F24" s="2">
        <v>290</v>
      </c>
      <c r="G24" t="s">
        <v>658</v>
      </c>
      <c r="H24" s="2" t="s">
        <v>659</v>
      </c>
      <c r="I24" s="16" t="s">
        <v>407</v>
      </c>
      <c r="J24" s="20" t="s">
        <v>358</v>
      </c>
    </row>
    <row r="25" spans="1:10" ht="18" customHeight="1" x14ac:dyDescent="0.3">
      <c r="A25" s="2" t="s">
        <v>705</v>
      </c>
      <c r="B25" t="s">
        <v>706</v>
      </c>
      <c r="C25" t="s">
        <v>707</v>
      </c>
      <c r="D25" s="17">
        <v>1080000</v>
      </c>
      <c r="E25" s="18"/>
      <c r="F25" s="2">
        <v>291</v>
      </c>
      <c r="G25" t="s">
        <v>658</v>
      </c>
      <c r="H25" s="2"/>
      <c r="I25" s="16" t="s">
        <v>421</v>
      </c>
      <c r="J25" s="20" t="s">
        <v>358</v>
      </c>
    </row>
    <row r="26" spans="1:10" ht="18" customHeight="1" x14ac:dyDescent="0.3">
      <c r="A26" s="2" t="s">
        <v>708</v>
      </c>
      <c r="B26" t="s">
        <v>709</v>
      </c>
      <c r="C26" t="s">
        <v>665</v>
      </c>
      <c r="D26" s="17">
        <v>1500000</v>
      </c>
      <c r="E26" s="18"/>
      <c r="F26" s="2">
        <v>292</v>
      </c>
      <c r="G26" t="s">
        <v>669</v>
      </c>
      <c r="H26" s="2"/>
      <c r="I26" s="16" t="s">
        <v>1048</v>
      </c>
      <c r="J26" s="20" t="s">
        <v>1048</v>
      </c>
    </row>
    <row r="27" spans="1:10" ht="18" customHeight="1" x14ac:dyDescent="0.3">
      <c r="A27" s="2" t="s">
        <v>708</v>
      </c>
      <c r="B27" t="s">
        <v>710</v>
      </c>
      <c r="C27" t="s">
        <v>711</v>
      </c>
      <c r="D27" s="17">
        <v>2890000</v>
      </c>
      <c r="E27" s="18"/>
      <c r="F27" s="2">
        <v>293</v>
      </c>
      <c r="G27" t="s">
        <v>679</v>
      </c>
      <c r="H27" s="2" t="s">
        <v>659</v>
      </c>
      <c r="I27" s="16" t="s">
        <v>18</v>
      </c>
      <c r="J27" s="20" t="s">
        <v>19</v>
      </c>
    </row>
    <row r="28" spans="1:10" ht="18" customHeight="1" x14ac:dyDescent="0.3">
      <c r="A28" s="2" t="s">
        <v>708</v>
      </c>
      <c r="B28" t="s">
        <v>712</v>
      </c>
      <c r="C28" t="s">
        <v>713</v>
      </c>
      <c r="D28" s="17">
        <v>3160000</v>
      </c>
      <c r="E28" s="18"/>
      <c r="F28" s="2">
        <v>294</v>
      </c>
      <c r="G28" t="s">
        <v>658</v>
      </c>
      <c r="H28" s="2" t="s">
        <v>659</v>
      </c>
      <c r="I28" s="16" t="s">
        <v>407</v>
      </c>
      <c r="J28" s="20" t="s">
        <v>358</v>
      </c>
    </row>
    <row r="29" spans="1:10" ht="18" customHeight="1" x14ac:dyDescent="0.3">
      <c r="A29" s="2" t="s">
        <v>708</v>
      </c>
      <c r="B29" t="s">
        <v>714</v>
      </c>
      <c r="C29" t="s">
        <v>665</v>
      </c>
      <c r="D29" s="17"/>
      <c r="E29" s="18">
        <v>1356</v>
      </c>
      <c r="F29" s="2">
        <v>295</v>
      </c>
      <c r="G29" t="s">
        <v>658</v>
      </c>
      <c r="H29" s="2" t="s">
        <v>659</v>
      </c>
      <c r="I29" s="16" t="s">
        <v>407</v>
      </c>
      <c r="J29" s="20" t="s">
        <v>358</v>
      </c>
    </row>
    <row r="30" spans="1:10" ht="18" customHeight="1" x14ac:dyDescent="0.3">
      <c r="A30" s="2" t="s">
        <v>715</v>
      </c>
      <c r="B30" t="s">
        <v>716</v>
      </c>
      <c r="C30" t="s">
        <v>717</v>
      </c>
      <c r="D30" s="17">
        <v>5190000</v>
      </c>
      <c r="E30" s="18"/>
      <c r="F30" s="2">
        <v>296</v>
      </c>
      <c r="G30" t="s">
        <v>679</v>
      </c>
      <c r="H30" s="2" t="s">
        <v>659</v>
      </c>
      <c r="I30" s="16" t="s">
        <v>583</v>
      </c>
      <c r="J30" s="20" t="s">
        <v>19</v>
      </c>
    </row>
    <row r="31" spans="1:10" ht="18" customHeight="1" x14ac:dyDescent="0.3">
      <c r="A31" s="2" t="s">
        <v>715</v>
      </c>
      <c r="B31" t="s">
        <v>718</v>
      </c>
      <c r="C31" t="s">
        <v>719</v>
      </c>
      <c r="D31" s="17">
        <v>4590000</v>
      </c>
      <c r="E31" s="18"/>
      <c r="F31" s="2">
        <v>297</v>
      </c>
      <c r="G31" t="s">
        <v>679</v>
      </c>
      <c r="H31" s="2" t="s">
        <v>659</v>
      </c>
      <c r="I31" s="16" t="s">
        <v>625</v>
      </c>
      <c r="J31" s="20" t="s">
        <v>19</v>
      </c>
    </row>
    <row r="32" spans="1:10" ht="18" customHeight="1" x14ac:dyDescent="0.3">
      <c r="A32" s="2" t="s">
        <v>715</v>
      </c>
      <c r="B32" t="s">
        <v>720</v>
      </c>
      <c r="C32" t="s">
        <v>721</v>
      </c>
      <c r="D32" s="17">
        <v>13850000</v>
      </c>
      <c r="E32" s="18"/>
      <c r="F32" s="2">
        <v>298</v>
      </c>
      <c r="G32" t="s">
        <v>679</v>
      </c>
      <c r="H32" s="2" t="s">
        <v>680</v>
      </c>
      <c r="I32" s="16" t="s">
        <v>1050</v>
      </c>
      <c r="J32" s="20" t="s">
        <v>19</v>
      </c>
    </row>
    <row r="33" spans="1:10" ht="18" customHeight="1" x14ac:dyDescent="0.3">
      <c r="A33" s="2" t="s">
        <v>715</v>
      </c>
      <c r="B33" t="s">
        <v>722</v>
      </c>
      <c r="C33" t="s">
        <v>723</v>
      </c>
      <c r="D33" s="17">
        <v>2370000</v>
      </c>
      <c r="E33" s="18"/>
      <c r="F33" s="2">
        <v>299</v>
      </c>
      <c r="G33" t="s">
        <v>679</v>
      </c>
      <c r="H33" s="2" t="s">
        <v>659</v>
      </c>
      <c r="I33" s="16" t="s">
        <v>407</v>
      </c>
      <c r="J33" s="20" t="s">
        <v>358</v>
      </c>
    </row>
    <row r="34" spans="1:10" ht="18" customHeight="1" x14ac:dyDescent="0.3">
      <c r="A34" s="2" t="s">
        <v>724</v>
      </c>
      <c r="B34" t="s">
        <v>725</v>
      </c>
      <c r="C34" t="s">
        <v>726</v>
      </c>
      <c r="D34" s="17">
        <v>3160000</v>
      </c>
      <c r="E34" s="18"/>
      <c r="F34" s="2">
        <v>301</v>
      </c>
      <c r="G34" t="s">
        <v>658</v>
      </c>
      <c r="H34" s="2" t="s">
        <v>659</v>
      </c>
      <c r="I34" s="16" t="s">
        <v>407</v>
      </c>
      <c r="J34" s="20" t="s">
        <v>358</v>
      </c>
    </row>
    <row r="35" spans="1:10" ht="18" customHeight="1" x14ac:dyDescent="0.3">
      <c r="A35" s="2" t="s">
        <v>727</v>
      </c>
      <c r="B35" t="s">
        <v>728</v>
      </c>
      <c r="C35" t="s">
        <v>729</v>
      </c>
      <c r="D35" s="17">
        <v>199000</v>
      </c>
      <c r="E35" s="18"/>
      <c r="F35" s="2">
        <v>302</v>
      </c>
      <c r="G35" t="s">
        <v>679</v>
      </c>
      <c r="H35" s="2" t="s">
        <v>659</v>
      </c>
      <c r="I35" s="16" t="s">
        <v>409</v>
      </c>
      <c r="J35" s="20" t="s">
        <v>358</v>
      </c>
    </row>
    <row r="36" spans="1:10" ht="18" customHeight="1" x14ac:dyDescent="0.3">
      <c r="A36" s="2" t="s">
        <v>727</v>
      </c>
      <c r="B36" t="s">
        <v>730</v>
      </c>
      <c r="C36" t="s">
        <v>731</v>
      </c>
      <c r="D36" s="17">
        <v>3290000</v>
      </c>
      <c r="E36" s="18"/>
      <c r="F36" s="2">
        <v>303</v>
      </c>
      <c r="G36" t="s">
        <v>679</v>
      </c>
      <c r="H36" s="2" t="s">
        <v>659</v>
      </c>
      <c r="I36" s="16" t="s">
        <v>602</v>
      </c>
      <c r="J36" s="20" t="s">
        <v>19</v>
      </c>
    </row>
    <row r="37" spans="1:10" ht="18" customHeight="1" x14ac:dyDescent="0.3">
      <c r="A37" s="2" t="s">
        <v>727</v>
      </c>
      <c r="B37" t="s">
        <v>732</v>
      </c>
      <c r="C37" t="s">
        <v>733</v>
      </c>
      <c r="D37" s="17">
        <v>12080000</v>
      </c>
      <c r="E37" s="18"/>
      <c r="F37" s="2">
        <v>304</v>
      </c>
      <c r="G37" t="s">
        <v>679</v>
      </c>
      <c r="H37" s="2" t="s">
        <v>680</v>
      </c>
      <c r="I37" s="16" t="s">
        <v>1050</v>
      </c>
      <c r="J37" s="20" t="s">
        <v>19</v>
      </c>
    </row>
    <row r="38" spans="1:10" ht="18" customHeight="1" x14ac:dyDescent="0.3">
      <c r="A38" s="2" t="s">
        <v>727</v>
      </c>
      <c r="B38" t="s">
        <v>734</v>
      </c>
      <c r="C38" t="s">
        <v>735</v>
      </c>
      <c r="D38" s="17">
        <v>2370000</v>
      </c>
      <c r="E38" s="18"/>
      <c r="F38" s="2">
        <v>305</v>
      </c>
      <c r="G38" t="s">
        <v>658</v>
      </c>
      <c r="H38" s="2" t="s">
        <v>659</v>
      </c>
      <c r="I38" s="16" t="s">
        <v>407</v>
      </c>
      <c r="J38" s="20" t="s">
        <v>358</v>
      </c>
    </row>
    <row r="39" spans="1:10" ht="18" customHeight="1" x14ac:dyDescent="0.3">
      <c r="A39" s="2" t="s">
        <v>727</v>
      </c>
      <c r="B39" t="s">
        <v>736</v>
      </c>
      <c r="C39" t="s">
        <v>737</v>
      </c>
      <c r="D39" s="17">
        <v>199000</v>
      </c>
      <c r="E39" s="18"/>
      <c r="F39" s="2">
        <v>306</v>
      </c>
      <c r="G39" t="s">
        <v>679</v>
      </c>
      <c r="H39" s="2" t="s">
        <v>659</v>
      </c>
      <c r="I39" s="16" t="s">
        <v>409</v>
      </c>
      <c r="J39" s="20" t="s">
        <v>358</v>
      </c>
    </row>
    <row r="40" spans="1:10" ht="18" customHeight="1" x14ac:dyDescent="0.3">
      <c r="A40" s="2" t="s">
        <v>727</v>
      </c>
      <c r="B40" t="s">
        <v>738</v>
      </c>
      <c r="C40" t="s">
        <v>739</v>
      </c>
      <c r="D40" s="17">
        <v>2590000</v>
      </c>
      <c r="E40" s="18"/>
      <c r="F40" s="2">
        <v>307</v>
      </c>
      <c r="G40" t="s">
        <v>679</v>
      </c>
      <c r="H40" s="2" t="s">
        <v>659</v>
      </c>
      <c r="I40" s="16" t="s">
        <v>477</v>
      </c>
      <c r="J40" s="20" t="s">
        <v>19</v>
      </c>
    </row>
    <row r="41" spans="1:10" ht="18" customHeight="1" x14ac:dyDescent="0.3">
      <c r="A41" s="2" t="s">
        <v>727</v>
      </c>
      <c r="B41" t="s">
        <v>740</v>
      </c>
      <c r="C41" t="s">
        <v>741</v>
      </c>
      <c r="D41" s="17">
        <v>6390000</v>
      </c>
      <c r="E41" s="18"/>
      <c r="F41" s="2">
        <v>308</v>
      </c>
      <c r="G41" t="s">
        <v>679</v>
      </c>
      <c r="H41" s="2" t="s">
        <v>680</v>
      </c>
      <c r="I41" s="16" t="s">
        <v>621</v>
      </c>
      <c r="J41" s="20" t="s">
        <v>19</v>
      </c>
    </row>
    <row r="42" spans="1:10" ht="18" customHeight="1" x14ac:dyDescent="0.3">
      <c r="A42" s="2" t="s">
        <v>742</v>
      </c>
      <c r="B42" t="s">
        <v>743</v>
      </c>
      <c r="C42" t="s">
        <v>672</v>
      </c>
      <c r="D42" s="17">
        <v>6080000</v>
      </c>
      <c r="E42" s="18"/>
      <c r="F42" s="2">
        <v>309</v>
      </c>
      <c r="G42" t="s">
        <v>658</v>
      </c>
      <c r="H42" s="2" t="s">
        <v>659</v>
      </c>
      <c r="I42" s="16" t="s">
        <v>407</v>
      </c>
      <c r="J42" s="20" t="s">
        <v>358</v>
      </c>
    </row>
    <row r="43" spans="1:10" ht="18" customHeight="1" x14ac:dyDescent="0.3">
      <c r="A43" s="2" t="s">
        <v>742</v>
      </c>
      <c r="B43" t="s">
        <v>744</v>
      </c>
      <c r="C43" t="s">
        <v>717</v>
      </c>
      <c r="D43" s="17">
        <v>7190000</v>
      </c>
      <c r="E43" s="18"/>
      <c r="F43" s="2">
        <v>310</v>
      </c>
      <c r="G43" t="s">
        <v>679</v>
      </c>
      <c r="H43" s="2" t="s">
        <v>659</v>
      </c>
      <c r="I43" s="16" t="s">
        <v>95</v>
      </c>
      <c r="J43" s="20" t="s">
        <v>19</v>
      </c>
    </row>
    <row r="44" spans="1:10" ht="18" customHeight="1" x14ac:dyDescent="0.3">
      <c r="A44" s="2" t="s">
        <v>742</v>
      </c>
      <c r="B44" t="s">
        <v>685</v>
      </c>
      <c r="C44" t="s">
        <v>685</v>
      </c>
      <c r="D44" s="17"/>
      <c r="E44" s="18"/>
      <c r="F44" s="2">
        <v>311</v>
      </c>
      <c r="H44" s="2"/>
      <c r="I44" s="16" t="s">
        <v>1048</v>
      </c>
      <c r="J44" s="20" t="s">
        <v>1048</v>
      </c>
    </row>
    <row r="45" spans="1:10" ht="18" customHeight="1" x14ac:dyDescent="0.3">
      <c r="A45" s="2" t="s">
        <v>742</v>
      </c>
      <c r="B45" t="s">
        <v>745</v>
      </c>
      <c r="C45" t="s">
        <v>746</v>
      </c>
      <c r="D45" s="17">
        <v>1090000</v>
      </c>
      <c r="E45" s="18"/>
      <c r="F45" s="2">
        <v>312</v>
      </c>
      <c r="G45" t="s">
        <v>658</v>
      </c>
      <c r="H45" s="2" t="s">
        <v>659</v>
      </c>
      <c r="I45" s="16" t="s">
        <v>421</v>
      </c>
      <c r="J45" s="20" t="s">
        <v>358</v>
      </c>
    </row>
    <row r="46" spans="1:10" ht="18" customHeight="1" x14ac:dyDescent="0.3">
      <c r="A46" s="2" t="s">
        <v>747</v>
      </c>
      <c r="B46" t="s">
        <v>748</v>
      </c>
      <c r="C46" t="s">
        <v>749</v>
      </c>
      <c r="D46" s="17">
        <v>1320000</v>
      </c>
      <c r="E46" s="18"/>
      <c r="F46" s="2">
        <v>313</v>
      </c>
      <c r="G46" t="s">
        <v>658</v>
      </c>
      <c r="H46" s="2" t="s">
        <v>659</v>
      </c>
      <c r="I46" s="16" t="s">
        <v>421</v>
      </c>
      <c r="J46" s="20" t="s">
        <v>358</v>
      </c>
    </row>
    <row r="47" spans="1:10" ht="18" customHeight="1" x14ac:dyDescent="0.3">
      <c r="A47" s="2" t="s">
        <v>750</v>
      </c>
      <c r="B47" t="s">
        <v>751</v>
      </c>
      <c r="C47" t="s">
        <v>752</v>
      </c>
      <c r="D47" s="17">
        <v>209000</v>
      </c>
      <c r="E47" s="18"/>
      <c r="F47" s="2">
        <v>314</v>
      </c>
      <c r="G47" t="s">
        <v>679</v>
      </c>
      <c r="H47" s="2" t="s">
        <v>659</v>
      </c>
      <c r="I47" s="16" t="s">
        <v>409</v>
      </c>
      <c r="J47" s="20" t="s">
        <v>358</v>
      </c>
    </row>
    <row r="48" spans="1:10" ht="18" customHeight="1" x14ac:dyDescent="0.3">
      <c r="A48" s="2" t="s">
        <v>750</v>
      </c>
      <c r="B48" t="s">
        <v>753</v>
      </c>
      <c r="C48" t="s">
        <v>754</v>
      </c>
      <c r="D48" s="17">
        <v>6445000</v>
      </c>
      <c r="E48" s="18"/>
      <c r="F48" s="2">
        <v>315</v>
      </c>
      <c r="G48" t="s">
        <v>679</v>
      </c>
      <c r="H48" s="2" t="s">
        <v>659</v>
      </c>
      <c r="I48" s="16" t="s">
        <v>621</v>
      </c>
      <c r="J48" s="20" t="s">
        <v>19</v>
      </c>
    </row>
    <row r="49" spans="1:10" ht="18" customHeight="1" x14ac:dyDescent="0.3">
      <c r="A49" s="2" t="s">
        <v>750</v>
      </c>
      <c r="B49" t="s">
        <v>755</v>
      </c>
      <c r="C49" t="s">
        <v>665</v>
      </c>
      <c r="D49" s="17"/>
      <c r="E49" s="18">
        <v>2712</v>
      </c>
      <c r="F49" s="2">
        <v>316</v>
      </c>
      <c r="G49" t="s">
        <v>658</v>
      </c>
      <c r="H49" s="2" t="s">
        <v>659</v>
      </c>
      <c r="I49" s="16" t="s">
        <v>407</v>
      </c>
      <c r="J49" s="20" t="s">
        <v>358</v>
      </c>
    </row>
    <row r="50" spans="1:10" ht="18" customHeight="1" x14ac:dyDescent="0.3">
      <c r="A50" s="2" t="s">
        <v>750</v>
      </c>
      <c r="B50" t="s">
        <v>756</v>
      </c>
      <c r="C50" t="s">
        <v>757</v>
      </c>
      <c r="D50" s="17">
        <v>395000</v>
      </c>
      <c r="E50" s="18"/>
      <c r="F50" s="2">
        <v>317</v>
      </c>
      <c r="G50" t="s">
        <v>679</v>
      </c>
      <c r="H50" s="2" t="s">
        <v>659</v>
      </c>
      <c r="I50" s="16" t="s">
        <v>411</v>
      </c>
      <c r="J50" s="20" t="s">
        <v>358</v>
      </c>
    </row>
    <row r="51" spans="1:10" ht="18" customHeight="1" x14ac:dyDescent="0.3">
      <c r="A51" s="2" t="s">
        <v>750</v>
      </c>
      <c r="B51" t="s">
        <v>758</v>
      </c>
      <c r="C51" t="s">
        <v>754</v>
      </c>
      <c r="D51" s="17">
        <v>812000</v>
      </c>
      <c r="E51" s="18"/>
      <c r="F51" s="2">
        <v>318</v>
      </c>
      <c r="G51" t="s">
        <v>679</v>
      </c>
      <c r="H51" s="2" t="s">
        <v>659</v>
      </c>
      <c r="I51" s="16" t="s">
        <v>413</v>
      </c>
      <c r="J51" s="20" t="s">
        <v>358</v>
      </c>
    </row>
    <row r="52" spans="1:10" ht="18" customHeight="1" x14ac:dyDescent="0.3">
      <c r="A52" s="2" t="s">
        <v>759</v>
      </c>
      <c r="B52" t="s">
        <v>760</v>
      </c>
      <c r="C52" t="s">
        <v>761</v>
      </c>
      <c r="D52" s="17">
        <v>50000000</v>
      </c>
      <c r="E52" s="18"/>
      <c r="F52" s="2">
        <v>319</v>
      </c>
      <c r="G52" t="s">
        <v>679</v>
      </c>
      <c r="H52" s="2" t="s">
        <v>659</v>
      </c>
      <c r="I52" s="16" t="s">
        <v>1048</v>
      </c>
      <c r="J52" s="20" t="s">
        <v>1048</v>
      </c>
    </row>
    <row r="53" spans="1:10" ht="18" customHeight="1" x14ac:dyDescent="0.3">
      <c r="A53" s="2" t="s">
        <v>762</v>
      </c>
      <c r="B53" t="s">
        <v>763</v>
      </c>
      <c r="C53" t="s">
        <v>764</v>
      </c>
      <c r="D53" s="17"/>
      <c r="E53" s="18">
        <v>22390</v>
      </c>
      <c r="F53" s="2">
        <v>320</v>
      </c>
      <c r="G53" t="s">
        <v>658</v>
      </c>
      <c r="H53" s="2" t="s">
        <v>659</v>
      </c>
      <c r="I53" s="16" t="s">
        <v>383</v>
      </c>
      <c r="J53" s="20" t="s">
        <v>13</v>
      </c>
    </row>
    <row r="54" spans="1:10" ht="18" customHeight="1" x14ac:dyDescent="0.3">
      <c r="A54" s="2" t="s">
        <v>762</v>
      </c>
      <c r="B54" t="s">
        <v>765</v>
      </c>
      <c r="C54" t="s">
        <v>766</v>
      </c>
      <c r="D54" s="17">
        <v>405000</v>
      </c>
      <c r="E54" s="18"/>
      <c r="F54" s="2">
        <v>321</v>
      </c>
      <c r="G54" t="s">
        <v>679</v>
      </c>
      <c r="H54" s="2" t="s">
        <v>659</v>
      </c>
      <c r="I54" s="16" t="s">
        <v>413</v>
      </c>
      <c r="J54" s="20" t="s">
        <v>358</v>
      </c>
    </row>
    <row r="55" spans="1:10" ht="18" customHeight="1" x14ac:dyDescent="0.3">
      <c r="A55" s="2" t="s">
        <v>762</v>
      </c>
      <c r="B55" t="s">
        <v>767</v>
      </c>
      <c r="C55" t="s">
        <v>768</v>
      </c>
      <c r="D55" s="17">
        <v>7512000</v>
      </c>
      <c r="E55" s="18"/>
      <c r="F55" s="2">
        <v>322</v>
      </c>
      <c r="G55" t="s">
        <v>658</v>
      </c>
      <c r="H55" s="2" t="s">
        <v>659</v>
      </c>
      <c r="I55" s="16" t="s">
        <v>407</v>
      </c>
      <c r="J55" s="20" t="s">
        <v>358</v>
      </c>
    </row>
    <row r="56" spans="1:10" ht="18" customHeight="1" x14ac:dyDescent="0.3">
      <c r="A56" s="2" t="s">
        <v>769</v>
      </c>
      <c r="B56" t="s">
        <v>770</v>
      </c>
      <c r="C56" t="s">
        <v>665</v>
      </c>
      <c r="D56" s="17"/>
      <c r="E56" s="18">
        <v>1356</v>
      </c>
      <c r="F56" s="2">
        <v>323</v>
      </c>
      <c r="G56" t="s">
        <v>658</v>
      </c>
      <c r="H56" s="2" t="s">
        <v>659</v>
      </c>
      <c r="I56" s="16" t="s">
        <v>407</v>
      </c>
      <c r="J56" s="20" t="s">
        <v>358</v>
      </c>
    </row>
    <row r="57" spans="1:10" ht="18" customHeight="1" x14ac:dyDescent="0.3">
      <c r="A57" s="2" t="s">
        <v>769</v>
      </c>
      <c r="B57" t="s">
        <v>771</v>
      </c>
      <c r="C57" t="s">
        <v>772</v>
      </c>
      <c r="D57" s="17">
        <v>3790000</v>
      </c>
      <c r="E57" s="18"/>
      <c r="F57" s="2">
        <v>324</v>
      </c>
      <c r="G57" t="s">
        <v>679</v>
      </c>
      <c r="H57" s="2" t="s">
        <v>659</v>
      </c>
      <c r="I57" s="16" t="s">
        <v>480</v>
      </c>
      <c r="J57" s="20" t="s">
        <v>19</v>
      </c>
    </row>
    <row r="58" spans="1:10" ht="18" customHeight="1" x14ac:dyDescent="0.3">
      <c r="A58" s="19">
        <v>46055</v>
      </c>
      <c r="B58" t="s">
        <v>774</v>
      </c>
      <c r="C58" t="s">
        <v>775</v>
      </c>
      <c r="D58" s="17">
        <v>11790000</v>
      </c>
      <c r="E58" s="18"/>
      <c r="F58" s="2">
        <v>325</v>
      </c>
      <c r="G58" t="s">
        <v>679</v>
      </c>
      <c r="H58" s="2" t="s">
        <v>659</v>
      </c>
      <c r="I58" s="16" t="s">
        <v>1051</v>
      </c>
      <c r="J58" s="20" t="s">
        <v>19</v>
      </c>
    </row>
    <row r="59" spans="1:10" ht="18" customHeight="1" x14ac:dyDescent="0.3">
      <c r="A59" s="19">
        <v>46055</v>
      </c>
      <c r="B59" t="s">
        <v>776</v>
      </c>
      <c r="C59" t="s">
        <v>777</v>
      </c>
      <c r="D59" s="17">
        <v>498000</v>
      </c>
      <c r="E59" s="18"/>
      <c r="F59" s="2">
        <v>326</v>
      </c>
      <c r="G59" t="s">
        <v>679</v>
      </c>
      <c r="H59" s="2" t="s">
        <v>659</v>
      </c>
      <c r="I59" s="16" t="s">
        <v>415</v>
      </c>
      <c r="J59" s="20" t="s">
        <v>358</v>
      </c>
    </row>
    <row r="60" spans="1:10" ht="18" customHeight="1" x14ac:dyDescent="0.3">
      <c r="A60" s="19">
        <v>46055</v>
      </c>
      <c r="B60" t="s">
        <v>778</v>
      </c>
      <c r="C60" t="s">
        <v>779</v>
      </c>
      <c r="D60" s="17">
        <v>3345000</v>
      </c>
      <c r="E60" s="18"/>
      <c r="F60" s="2">
        <v>327</v>
      </c>
      <c r="G60" t="s">
        <v>679</v>
      </c>
      <c r="H60" s="2" t="s">
        <v>659</v>
      </c>
      <c r="I60" s="16" t="s">
        <v>602</v>
      </c>
      <c r="J60" s="20" t="s">
        <v>19</v>
      </c>
    </row>
    <row r="61" spans="1:10" ht="18" customHeight="1" x14ac:dyDescent="0.3">
      <c r="A61" s="19">
        <v>46083</v>
      </c>
      <c r="B61" t="s">
        <v>781</v>
      </c>
      <c r="C61" t="s">
        <v>696</v>
      </c>
      <c r="D61" s="17">
        <v>2880000</v>
      </c>
      <c r="E61" s="18"/>
      <c r="F61" s="2">
        <v>328</v>
      </c>
      <c r="G61" t="s">
        <v>658</v>
      </c>
      <c r="H61" s="2" t="s">
        <v>659</v>
      </c>
      <c r="I61" s="16" t="s">
        <v>407</v>
      </c>
      <c r="J61" s="20" t="s">
        <v>358</v>
      </c>
    </row>
    <row r="62" spans="1:10" ht="18" customHeight="1" x14ac:dyDescent="0.3">
      <c r="A62" s="19">
        <v>46144</v>
      </c>
      <c r="B62" t="s">
        <v>783</v>
      </c>
      <c r="C62" t="s">
        <v>784</v>
      </c>
      <c r="D62" s="17">
        <v>419000</v>
      </c>
      <c r="E62" s="18"/>
      <c r="F62" s="2">
        <v>329</v>
      </c>
      <c r="G62" t="s">
        <v>679</v>
      </c>
      <c r="H62" s="2" t="s">
        <v>659</v>
      </c>
      <c r="I62" s="16" t="s">
        <v>413</v>
      </c>
      <c r="J62" s="20" t="s">
        <v>358</v>
      </c>
    </row>
    <row r="63" spans="1:10" ht="18" customHeight="1" x14ac:dyDescent="0.3">
      <c r="A63" s="2"/>
      <c r="B63" t="s">
        <v>685</v>
      </c>
      <c r="C63" t="s">
        <v>685</v>
      </c>
      <c r="D63" s="17"/>
      <c r="E63" s="18"/>
      <c r="F63" s="2">
        <v>330</v>
      </c>
      <c r="H63" s="2"/>
      <c r="I63" s="16" t="s">
        <v>1048</v>
      </c>
      <c r="J63" s="20" t="s">
        <v>1048</v>
      </c>
    </row>
    <row r="64" spans="1:10" ht="18" customHeight="1" x14ac:dyDescent="0.3">
      <c r="A64" s="19">
        <v>46144</v>
      </c>
      <c r="B64" t="s">
        <v>785</v>
      </c>
      <c r="C64" t="s">
        <v>786</v>
      </c>
      <c r="D64" s="17">
        <v>14112000</v>
      </c>
      <c r="E64" s="18"/>
      <c r="F64" s="2">
        <v>331</v>
      </c>
      <c r="G64" t="s">
        <v>658</v>
      </c>
      <c r="H64" s="2" t="s">
        <v>787</v>
      </c>
      <c r="I64" s="16" t="s">
        <v>407</v>
      </c>
      <c r="J64" s="20" t="s">
        <v>358</v>
      </c>
    </row>
    <row r="65" spans="1:10" ht="18" customHeight="1" x14ac:dyDescent="0.3">
      <c r="A65" s="19">
        <v>46144</v>
      </c>
      <c r="B65" t="s">
        <v>788</v>
      </c>
      <c r="C65" t="s">
        <v>789</v>
      </c>
      <c r="D65" s="17">
        <v>65000</v>
      </c>
      <c r="E65" s="18"/>
      <c r="F65" s="2">
        <v>332</v>
      </c>
      <c r="G65" t="s">
        <v>679</v>
      </c>
      <c r="H65" s="2" t="s">
        <v>659</v>
      </c>
      <c r="I65" s="16" t="s">
        <v>493</v>
      </c>
      <c r="J65" s="20" t="s">
        <v>358</v>
      </c>
    </row>
    <row r="66" spans="1:10" ht="18" customHeight="1" x14ac:dyDescent="0.3">
      <c r="A66" s="19">
        <v>46175</v>
      </c>
      <c r="B66" t="s">
        <v>776</v>
      </c>
      <c r="C66" t="s">
        <v>777</v>
      </c>
      <c r="D66" s="17">
        <v>498000</v>
      </c>
      <c r="E66" s="18"/>
      <c r="F66" s="2">
        <v>333</v>
      </c>
      <c r="G66" t="s">
        <v>679</v>
      </c>
      <c r="H66" s="2" t="s">
        <v>659</v>
      </c>
      <c r="I66" s="16" t="s">
        <v>415</v>
      </c>
      <c r="J66" s="20" t="s">
        <v>358</v>
      </c>
    </row>
    <row r="67" spans="1:10" ht="18" customHeight="1" x14ac:dyDescent="0.3">
      <c r="A67" s="19">
        <v>46175</v>
      </c>
      <c r="B67" t="s">
        <v>791</v>
      </c>
      <c r="C67" t="s">
        <v>792</v>
      </c>
      <c r="D67" s="17">
        <v>1585000</v>
      </c>
      <c r="E67" s="18"/>
      <c r="F67" s="2">
        <v>334</v>
      </c>
      <c r="G67" t="s">
        <v>679</v>
      </c>
      <c r="H67" s="2" t="s">
        <v>659</v>
      </c>
      <c r="I67" s="16" t="s">
        <v>421</v>
      </c>
      <c r="J67" s="20" t="s">
        <v>358</v>
      </c>
    </row>
    <row r="68" spans="1:10" ht="18" customHeight="1" x14ac:dyDescent="0.3">
      <c r="A68" s="19">
        <v>46175</v>
      </c>
      <c r="B68" t="s">
        <v>736</v>
      </c>
      <c r="C68" t="s">
        <v>793</v>
      </c>
      <c r="D68" s="17">
        <v>199000</v>
      </c>
      <c r="E68" s="18"/>
      <c r="F68" s="2">
        <v>335</v>
      </c>
      <c r="G68" t="s">
        <v>679</v>
      </c>
      <c r="H68" s="2" t="s">
        <v>659</v>
      </c>
      <c r="I68" s="16" t="s">
        <v>409</v>
      </c>
      <c r="J68" s="20" t="s">
        <v>358</v>
      </c>
    </row>
    <row r="69" spans="1:10" ht="18" customHeight="1" x14ac:dyDescent="0.3">
      <c r="A69" s="2"/>
      <c r="B69" t="s">
        <v>685</v>
      </c>
      <c r="C69" t="s">
        <v>685</v>
      </c>
      <c r="D69" s="17"/>
      <c r="E69" s="18"/>
      <c r="F69" s="2">
        <v>336</v>
      </c>
      <c r="H69" s="2"/>
      <c r="I69" s="16" t="s">
        <v>1048</v>
      </c>
      <c r="J69" s="20" t="s">
        <v>1048</v>
      </c>
    </row>
    <row r="70" spans="1:10" ht="18" customHeight="1" x14ac:dyDescent="0.3">
      <c r="A70" s="2"/>
      <c r="B70" t="s">
        <v>685</v>
      </c>
      <c r="C70" t="s">
        <v>685</v>
      </c>
      <c r="D70" s="17"/>
      <c r="E70" s="18"/>
      <c r="F70" s="2">
        <v>337</v>
      </c>
      <c r="H70" s="2"/>
      <c r="I70" s="16" t="s">
        <v>1048</v>
      </c>
      <c r="J70" s="20" t="s">
        <v>1048</v>
      </c>
    </row>
    <row r="71" spans="1:10" ht="18" customHeight="1" x14ac:dyDescent="0.3">
      <c r="A71" s="19">
        <v>46175</v>
      </c>
      <c r="B71" t="s">
        <v>794</v>
      </c>
      <c r="C71" t="s">
        <v>735</v>
      </c>
      <c r="D71" s="17">
        <v>3160000</v>
      </c>
      <c r="E71" s="18"/>
      <c r="F71" s="2">
        <v>338</v>
      </c>
      <c r="G71" t="s">
        <v>658</v>
      </c>
      <c r="H71" s="2" t="s">
        <v>659</v>
      </c>
      <c r="I71" s="16" t="s">
        <v>407</v>
      </c>
      <c r="J71" s="20" t="s">
        <v>358</v>
      </c>
    </row>
    <row r="72" spans="1:10" ht="18" customHeight="1" x14ac:dyDescent="0.3">
      <c r="A72" s="19">
        <v>46267</v>
      </c>
      <c r="B72" t="s">
        <v>778</v>
      </c>
      <c r="C72" t="s">
        <v>796</v>
      </c>
      <c r="D72" s="17">
        <v>3645000</v>
      </c>
      <c r="E72" s="18"/>
      <c r="F72" s="2">
        <v>339</v>
      </c>
      <c r="G72" t="s">
        <v>679</v>
      </c>
      <c r="H72" s="2" t="s">
        <v>797</v>
      </c>
      <c r="I72" s="16" t="s">
        <v>602</v>
      </c>
      <c r="J72" s="20" t="s">
        <v>19</v>
      </c>
    </row>
    <row r="73" spans="1:10" ht="18" customHeight="1" x14ac:dyDescent="0.3">
      <c r="A73" s="19">
        <v>46267</v>
      </c>
      <c r="B73" t="s">
        <v>798</v>
      </c>
      <c r="C73" t="s">
        <v>707</v>
      </c>
      <c r="D73" s="17">
        <v>890000</v>
      </c>
      <c r="E73" s="18"/>
      <c r="F73" s="2">
        <v>340</v>
      </c>
      <c r="G73" t="s">
        <v>679</v>
      </c>
      <c r="H73" s="2"/>
      <c r="I73" s="16" t="s">
        <v>407</v>
      </c>
      <c r="J73" s="20" t="s">
        <v>358</v>
      </c>
    </row>
    <row r="74" spans="1:10" ht="18" customHeight="1" x14ac:dyDescent="0.3">
      <c r="A74" s="19">
        <v>46267</v>
      </c>
      <c r="B74" t="s">
        <v>799</v>
      </c>
      <c r="C74" t="s">
        <v>707</v>
      </c>
      <c r="D74" s="17">
        <v>3240000</v>
      </c>
      <c r="E74" s="18"/>
      <c r="F74" s="2">
        <v>341</v>
      </c>
      <c r="G74" t="s">
        <v>679</v>
      </c>
      <c r="H74" s="2"/>
      <c r="I74" s="16" t="s">
        <v>421</v>
      </c>
      <c r="J74" s="20" t="s">
        <v>358</v>
      </c>
    </row>
    <row r="75" spans="1:10" ht="18" customHeight="1" x14ac:dyDescent="0.3">
      <c r="A75" s="19">
        <v>46297</v>
      </c>
      <c r="B75" t="s">
        <v>801</v>
      </c>
      <c r="C75" t="s">
        <v>674</v>
      </c>
      <c r="D75" s="17">
        <v>1970000</v>
      </c>
      <c r="E75" s="18"/>
      <c r="F75" s="2">
        <v>342</v>
      </c>
      <c r="G75" t="s">
        <v>658</v>
      </c>
      <c r="H75" s="2" t="s">
        <v>659</v>
      </c>
      <c r="I75" s="16" t="s">
        <v>407</v>
      </c>
      <c r="J75" s="20" t="s">
        <v>358</v>
      </c>
    </row>
    <row r="76" spans="1:10" ht="18" customHeight="1" x14ac:dyDescent="0.3">
      <c r="A76" s="19">
        <v>46297</v>
      </c>
      <c r="B76" t="s">
        <v>802</v>
      </c>
      <c r="C76" t="s">
        <v>803</v>
      </c>
      <c r="D76" s="17">
        <v>1690000</v>
      </c>
      <c r="E76" s="18"/>
      <c r="F76" s="2">
        <v>343</v>
      </c>
      <c r="G76" t="s">
        <v>679</v>
      </c>
      <c r="H76" s="2" t="s">
        <v>659</v>
      </c>
      <c r="I76" s="16" t="s">
        <v>27</v>
      </c>
      <c r="J76" s="20" t="s">
        <v>19</v>
      </c>
    </row>
    <row r="77" spans="1:10" ht="18" customHeight="1" x14ac:dyDescent="0.3">
      <c r="A77" s="19">
        <v>46328</v>
      </c>
      <c r="B77" t="s">
        <v>805</v>
      </c>
      <c r="C77" t="s">
        <v>806</v>
      </c>
      <c r="D77" s="17">
        <v>6690000</v>
      </c>
      <c r="E77" s="18"/>
      <c r="F77" s="2">
        <v>345</v>
      </c>
      <c r="G77" t="s">
        <v>679</v>
      </c>
      <c r="H77" s="2" t="s">
        <v>659</v>
      </c>
      <c r="I77" s="16" t="s">
        <v>629</v>
      </c>
      <c r="J77" s="20" t="s">
        <v>19</v>
      </c>
    </row>
    <row r="78" spans="1:10" ht="18" customHeight="1" x14ac:dyDescent="0.3">
      <c r="A78" s="19">
        <v>46358</v>
      </c>
      <c r="B78" t="s">
        <v>808</v>
      </c>
      <c r="C78" t="s">
        <v>809</v>
      </c>
      <c r="D78" s="17">
        <v>405000</v>
      </c>
      <c r="E78" s="18"/>
      <c r="F78" s="2">
        <v>346</v>
      </c>
      <c r="G78" t="s">
        <v>679</v>
      </c>
      <c r="H78" s="2" t="s">
        <v>659</v>
      </c>
      <c r="I78" s="16" t="s">
        <v>413</v>
      </c>
      <c r="J78" s="20" t="s">
        <v>358</v>
      </c>
    </row>
    <row r="79" spans="1:10" ht="18" customHeight="1" x14ac:dyDescent="0.3">
      <c r="A79" s="19">
        <v>46358</v>
      </c>
      <c r="B79" t="s">
        <v>810</v>
      </c>
      <c r="C79" t="s">
        <v>811</v>
      </c>
      <c r="D79" s="17">
        <v>2370000</v>
      </c>
      <c r="E79" s="18"/>
      <c r="F79" s="2">
        <v>347</v>
      </c>
      <c r="G79" t="s">
        <v>658</v>
      </c>
      <c r="H79" s="2" t="s">
        <v>659</v>
      </c>
      <c r="I79" s="16" t="s">
        <v>407</v>
      </c>
      <c r="J79" s="20" t="s">
        <v>358</v>
      </c>
    </row>
    <row r="80" spans="1:10" ht="18" customHeight="1" x14ac:dyDescent="0.3">
      <c r="A80" s="19">
        <v>46358</v>
      </c>
      <c r="B80" t="s">
        <v>812</v>
      </c>
      <c r="C80" t="s">
        <v>665</v>
      </c>
      <c r="D80" s="17"/>
      <c r="E80" s="18">
        <v>6257.66</v>
      </c>
      <c r="F80" s="2">
        <v>348</v>
      </c>
      <c r="G80" t="s">
        <v>658</v>
      </c>
      <c r="H80" s="2"/>
      <c r="I80" s="16" t="s">
        <v>1048</v>
      </c>
      <c r="J80" s="20" t="s">
        <v>1048</v>
      </c>
    </row>
    <row r="81" spans="1:10" ht="18" customHeight="1" x14ac:dyDescent="0.3">
      <c r="A81" s="19">
        <v>46358</v>
      </c>
      <c r="B81" t="s">
        <v>813</v>
      </c>
      <c r="C81" t="s">
        <v>792</v>
      </c>
      <c r="D81" s="17">
        <v>1635000</v>
      </c>
      <c r="E81" s="18"/>
      <c r="F81" s="2">
        <v>349</v>
      </c>
      <c r="G81" t="s">
        <v>679</v>
      </c>
      <c r="H81" s="2" t="s">
        <v>659</v>
      </c>
      <c r="I81" s="16" t="s">
        <v>421</v>
      </c>
      <c r="J81" s="20" t="s">
        <v>358</v>
      </c>
    </row>
    <row r="82" spans="1:10" ht="18" customHeight="1" x14ac:dyDescent="0.3">
      <c r="A82" s="2"/>
      <c r="B82" t="s">
        <v>685</v>
      </c>
      <c r="C82" t="s">
        <v>685</v>
      </c>
      <c r="D82" s="17"/>
      <c r="E82" s="18"/>
      <c r="F82" s="2">
        <v>350</v>
      </c>
      <c r="H82" s="2"/>
      <c r="I82" s="16" t="s">
        <v>1048</v>
      </c>
      <c r="J82" s="20" t="s">
        <v>1048</v>
      </c>
    </row>
    <row r="83" spans="1:10" ht="18" customHeight="1" x14ac:dyDescent="0.3">
      <c r="A83" s="2" t="s">
        <v>814</v>
      </c>
      <c r="B83" t="s">
        <v>691</v>
      </c>
      <c r="C83" t="s">
        <v>815</v>
      </c>
      <c r="D83" s="17">
        <v>990000</v>
      </c>
      <c r="E83" s="18"/>
      <c r="F83" s="2">
        <v>351</v>
      </c>
      <c r="G83" t="s">
        <v>679</v>
      </c>
      <c r="H83" s="2" t="s">
        <v>659</v>
      </c>
      <c r="I83" s="16" t="s">
        <v>407</v>
      </c>
      <c r="J83" s="20" t="s">
        <v>358</v>
      </c>
    </row>
    <row r="84" spans="1:10" ht="18" customHeight="1" x14ac:dyDescent="0.3">
      <c r="A84" s="2" t="s">
        <v>814</v>
      </c>
      <c r="B84" t="s">
        <v>816</v>
      </c>
      <c r="C84" t="s">
        <v>735</v>
      </c>
      <c r="D84" s="17">
        <v>1580000</v>
      </c>
      <c r="E84" s="18"/>
      <c r="F84" s="2">
        <v>352</v>
      </c>
      <c r="G84" t="s">
        <v>658</v>
      </c>
      <c r="H84" s="2" t="s">
        <v>659</v>
      </c>
      <c r="I84" s="16" t="s">
        <v>407</v>
      </c>
      <c r="J84" s="20" t="s">
        <v>358</v>
      </c>
    </row>
    <row r="85" spans="1:10" ht="18" customHeight="1" x14ac:dyDescent="0.3">
      <c r="A85" s="2" t="s">
        <v>817</v>
      </c>
      <c r="B85" t="s">
        <v>818</v>
      </c>
      <c r="C85" t="s">
        <v>657</v>
      </c>
      <c r="D85" s="17">
        <v>1970000</v>
      </c>
      <c r="E85" s="18"/>
      <c r="F85" s="2">
        <v>353</v>
      </c>
      <c r="G85" t="s">
        <v>658</v>
      </c>
      <c r="H85" s="2" t="s">
        <v>659</v>
      </c>
      <c r="I85" s="16" t="s">
        <v>407</v>
      </c>
      <c r="J85" s="20" t="s">
        <v>358</v>
      </c>
    </row>
    <row r="86" spans="1:10" ht="18" customHeight="1" x14ac:dyDescent="0.3">
      <c r="A86" s="2" t="s">
        <v>817</v>
      </c>
      <c r="B86" t="s">
        <v>716</v>
      </c>
      <c r="C86" t="s">
        <v>819</v>
      </c>
      <c r="D86" s="17">
        <v>5190000</v>
      </c>
      <c r="E86" s="18"/>
      <c r="F86" s="2">
        <v>354</v>
      </c>
      <c r="G86" t="s">
        <v>679</v>
      </c>
      <c r="H86" s="2" t="s">
        <v>659</v>
      </c>
      <c r="I86" s="16" t="s">
        <v>583</v>
      </c>
      <c r="J86" s="20" t="s">
        <v>19</v>
      </c>
    </row>
    <row r="87" spans="1:10" ht="18" customHeight="1" x14ac:dyDescent="0.3">
      <c r="A87" s="2" t="s">
        <v>817</v>
      </c>
      <c r="B87" t="s">
        <v>820</v>
      </c>
      <c r="C87" t="s">
        <v>821</v>
      </c>
      <c r="D87" s="17">
        <v>53800000</v>
      </c>
      <c r="E87" s="18"/>
      <c r="F87" s="2">
        <v>355</v>
      </c>
      <c r="G87" t="s">
        <v>658</v>
      </c>
      <c r="H87" s="2" t="s">
        <v>659</v>
      </c>
      <c r="I87" s="16" t="s">
        <v>342</v>
      </c>
      <c r="J87" s="20" t="s">
        <v>13</v>
      </c>
    </row>
    <row r="88" spans="1:10" ht="18" customHeight="1" x14ac:dyDescent="0.3">
      <c r="A88" s="2"/>
      <c r="B88" t="s">
        <v>685</v>
      </c>
      <c r="C88" t="s">
        <v>685</v>
      </c>
      <c r="D88" s="17"/>
      <c r="E88" s="18"/>
      <c r="F88" s="2">
        <v>356</v>
      </c>
      <c r="H88" s="2"/>
      <c r="I88" s="16" t="s">
        <v>1048</v>
      </c>
      <c r="J88" s="20" t="s">
        <v>1048</v>
      </c>
    </row>
    <row r="89" spans="1:10" ht="18" customHeight="1" x14ac:dyDescent="0.3">
      <c r="A89" s="2" t="s">
        <v>822</v>
      </c>
      <c r="B89" t="s">
        <v>823</v>
      </c>
      <c r="C89" t="s">
        <v>707</v>
      </c>
      <c r="D89" s="17">
        <v>4320000</v>
      </c>
      <c r="E89" s="18"/>
      <c r="F89" s="2">
        <v>357</v>
      </c>
      <c r="G89" t="s">
        <v>679</v>
      </c>
      <c r="H89" s="2" t="s">
        <v>787</v>
      </c>
      <c r="I89" s="16" t="s">
        <v>421</v>
      </c>
      <c r="J89" s="20" t="s">
        <v>358</v>
      </c>
    </row>
    <row r="90" spans="1:10" ht="18" customHeight="1" x14ac:dyDescent="0.3">
      <c r="A90" s="2" t="s">
        <v>824</v>
      </c>
      <c r="B90" t="s">
        <v>825</v>
      </c>
      <c r="C90" t="s">
        <v>811</v>
      </c>
      <c r="D90" s="17">
        <v>1580000</v>
      </c>
      <c r="E90" s="18"/>
      <c r="F90" s="2">
        <v>358</v>
      </c>
      <c r="G90" t="s">
        <v>658</v>
      </c>
      <c r="H90" s="2" t="s">
        <v>659</v>
      </c>
      <c r="I90" s="16" t="s">
        <v>407</v>
      </c>
      <c r="J90" s="20" t="s">
        <v>358</v>
      </c>
    </row>
    <row r="91" spans="1:10" ht="18" customHeight="1" x14ac:dyDescent="0.3">
      <c r="A91" s="2" t="s">
        <v>824</v>
      </c>
      <c r="B91" t="s">
        <v>826</v>
      </c>
      <c r="C91" t="s">
        <v>827</v>
      </c>
      <c r="D91" s="17">
        <v>11976000</v>
      </c>
      <c r="E91" s="18"/>
      <c r="F91" s="2">
        <v>359</v>
      </c>
      <c r="G91" t="s">
        <v>658</v>
      </c>
      <c r="H91" s="2" t="s">
        <v>659</v>
      </c>
      <c r="I91" s="16" t="s">
        <v>421</v>
      </c>
      <c r="J91" s="20" t="s">
        <v>358</v>
      </c>
    </row>
    <row r="92" spans="1:10" ht="18" customHeight="1" x14ac:dyDescent="0.3">
      <c r="A92" s="2" t="s">
        <v>824</v>
      </c>
      <c r="B92" t="s">
        <v>828</v>
      </c>
      <c r="C92" t="s">
        <v>829</v>
      </c>
      <c r="D92" s="17">
        <v>1990000</v>
      </c>
      <c r="E92" s="18"/>
      <c r="F92" s="2">
        <v>360</v>
      </c>
      <c r="G92" t="s">
        <v>679</v>
      </c>
      <c r="H92" s="2" t="s">
        <v>659</v>
      </c>
      <c r="I92" s="16" t="s">
        <v>407</v>
      </c>
      <c r="J92" s="20" t="s">
        <v>358</v>
      </c>
    </row>
    <row r="93" spans="1:10" ht="18" customHeight="1" x14ac:dyDescent="0.3">
      <c r="A93" s="2" t="s">
        <v>824</v>
      </c>
      <c r="B93" t="s">
        <v>794</v>
      </c>
      <c r="C93" t="s">
        <v>713</v>
      </c>
      <c r="D93" s="17">
        <v>3160000</v>
      </c>
      <c r="E93" s="18"/>
      <c r="F93" s="2">
        <v>361</v>
      </c>
      <c r="G93" t="s">
        <v>658</v>
      </c>
      <c r="H93" s="2" t="s">
        <v>659</v>
      </c>
      <c r="I93" s="16" t="s">
        <v>407</v>
      </c>
      <c r="J93" s="20" t="s">
        <v>358</v>
      </c>
    </row>
    <row r="94" spans="1:10" ht="18" customHeight="1" x14ac:dyDescent="0.3">
      <c r="A94" s="2" t="s">
        <v>830</v>
      </c>
      <c r="B94" t="s">
        <v>831</v>
      </c>
      <c r="C94" t="s">
        <v>665</v>
      </c>
      <c r="D94" s="17"/>
      <c r="E94" s="18">
        <v>3616</v>
      </c>
      <c r="F94" s="2">
        <v>362</v>
      </c>
      <c r="G94" t="s">
        <v>658</v>
      </c>
      <c r="H94" s="2" t="s">
        <v>659</v>
      </c>
      <c r="I94" s="16" t="s">
        <v>407</v>
      </c>
      <c r="J94" s="20" t="s">
        <v>358</v>
      </c>
    </row>
    <row r="95" spans="1:10" ht="18" customHeight="1" x14ac:dyDescent="0.3">
      <c r="A95" s="2" t="s">
        <v>830</v>
      </c>
      <c r="B95" t="s">
        <v>832</v>
      </c>
      <c r="C95" t="s">
        <v>815</v>
      </c>
      <c r="D95" s="17">
        <v>1980000</v>
      </c>
      <c r="E95" s="18"/>
      <c r="F95" s="2">
        <v>363</v>
      </c>
      <c r="G95" t="s">
        <v>679</v>
      </c>
      <c r="H95" s="2" t="s">
        <v>659</v>
      </c>
      <c r="I95" s="16" t="s">
        <v>407</v>
      </c>
      <c r="J95" s="20" t="s">
        <v>358</v>
      </c>
    </row>
    <row r="96" spans="1:10" ht="18" customHeight="1" x14ac:dyDescent="0.3">
      <c r="A96" s="2" t="s">
        <v>830</v>
      </c>
      <c r="B96" t="s">
        <v>736</v>
      </c>
      <c r="C96" t="s">
        <v>833</v>
      </c>
      <c r="D96" s="17">
        <v>199000</v>
      </c>
      <c r="E96" s="18"/>
      <c r="F96" s="2">
        <v>364</v>
      </c>
      <c r="G96" t="s">
        <v>679</v>
      </c>
      <c r="H96" s="2" t="s">
        <v>659</v>
      </c>
      <c r="I96" s="16" t="s">
        <v>409</v>
      </c>
      <c r="J96" s="20" t="s">
        <v>358</v>
      </c>
    </row>
    <row r="97" spans="1:10" ht="18" customHeight="1" x14ac:dyDescent="0.3">
      <c r="A97" s="2" t="s">
        <v>834</v>
      </c>
      <c r="B97" t="s">
        <v>736</v>
      </c>
      <c r="C97" t="s">
        <v>835</v>
      </c>
      <c r="D97" s="17">
        <v>199000</v>
      </c>
      <c r="E97" s="18"/>
      <c r="F97" s="2">
        <v>365</v>
      </c>
      <c r="G97" t="s">
        <v>679</v>
      </c>
      <c r="H97" s="2" t="s">
        <v>659</v>
      </c>
      <c r="I97" s="16" t="s">
        <v>409</v>
      </c>
      <c r="J97" s="20" t="s">
        <v>358</v>
      </c>
    </row>
    <row r="98" spans="1:10" ht="18" customHeight="1" x14ac:dyDescent="0.3">
      <c r="A98" s="2" t="s">
        <v>834</v>
      </c>
      <c r="B98" t="s">
        <v>836</v>
      </c>
      <c r="C98" t="s">
        <v>672</v>
      </c>
      <c r="D98" s="17">
        <v>2958000</v>
      </c>
      <c r="E98" s="18"/>
      <c r="F98" s="2">
        <v>366</v>
      </c>
      <c r="G98" t="s">
        <v>658</v>
      </c>
      <c r="H98" s="2" t="s">
        <v>659</v>
      </c>
      <c r="I98" s="16" t="s">
        <v>407</v>
      </c>
      <c r="J98" s="20" t="s">
        <v>358</v>
      </c>
    </row>
    <row r="99" spans="1:10" ht="18" customHeight="1" x14ac:dyDescent="0.3">
      <c r="A99" s="2" t="s">
        <v>837</v>
      </c>
      <c r="B99" t="s">
        <v>838</v>
      </c>
      <c r="C99" t="s">
        <v>815</v>
      </c>
      <c r="D99" s="17">
        <v>1980000</v>
      </c>
      <c r="E99" s="18"/>
      <c r="F99" s="2">
        <v>367</v>
      </c>
      <c r="G99" t="s">
        <v>679</v>
      </c>
      <c r="H99" s="2" t="s">
        <v>659</v>
      </c>
      <c r="I99" s="16" t="s">
        <v>407</v>
      </c>
      <c r="J99" s="20" t="s">
        <v>358</v>
      </c>
    </row>
    <row r="100" spans="1:10" ht="18" customHeight="1" x14ac:dyDescent="0.3">
      <c r="A100" s="2" t="s">
        <v>837</v>
      </c>
      <c r="B100" t="s">
        <v>839</v>
      </c>
      <c r="C100" t="s">
        <v>735</v>
      </c>
      <c r="D100" s="17">
        <v>790000</v>
      </c>
      <c r="E100" s="18"/>
      <c r="F100" s="2">
        <v>368</v>
      </c>
      <c r="G100" t="s">
        <v>679</v>
      </c>
      <c r="H100" s="2" t="s">
        <v>659</v>
      </c>
      <c r="I100" s="16" t="s">
        <v>407</v>
      </c>
      <c r="J100" s="20" t="s">
        <v>358</v>
      </c>
    </row>
    <row r="101" spans="1:10" ht="18" customHeight="1" x14ac:dyDescent="0.3">
      <c r="A101" s="2" t="s">
        <v>837</v>
      </c>
      <c r="B101" t="s">
        <v>736</v>
      </c>
      <c r="C101" t="s">
        <v>840</v>
      </c>
      <c r="D101" s="17">
        <v>200000</v>
      </c>
      <c r="E101" s="18"/>
      <c r="F101" s="2">
        <v>369</v>
      </c>
      <c r="G101" t="s">
        <v>679</v>
      </c>
      <c r="H101" s="2" t="s">
        <v>680</v>
      </c>
      <c r="I101" s="16" t="s">
        <v>409</v>
      </c>
      <c r="J101" s="20" t="s">
        <v>358</v>
      </c>
    </row>
    <row r="102" spans="1:10" ht="18" customHeight="1" x14ac:dyDescent="0.3">
      <c r="A102" s="2"/>
      <c r="B102" t="s">
        <v>685</v>
      </c>
      <c r="C102" t="s">
        <v>685</v>
      </c>
      <c r="D102" s="17"/>
      <c r="E102" s="18"/>
      <c r="F102" s="2">
        <v>370</v>
      </c>
      <c r="H102" s="2"/>
      <c r="I102" s="16" t="s">
        <v>1048</v>
      </c>
      <c r="J102" s="20" t="s">
        <v>1048</v>
      </c>
    </row>
    <row r="103" spans="1:10" ht="18" customHeight="1" x14ac:dyDescent="0.3">
      <c r="A103" s="2" t="s">
        <v>841</v>
      </c>
      <c r="B103" t="s">
        <v>839</v>
      </c>
      <c r="C103" t="s">
        <v>842</v>
      </c>
      <c r="D103" s="17">
        <v>790000</v>
      </c>
      <c r="E103" s="18"/>
      <c r="F103" s="2">
        <v>371</v>
      </c>
      <c r="G103" t="s">
        <v>658</v>
      </c>
      <c r="H103" s="2" t="s">
        <v>659</v>
      </c>
      <c r="I103" s="16" t="s">
        <v>407</v>
      </c>
      <c r="J103" s="20" t="s">
        <v>358</v>
      </c>
    </row>
    <row r="104" spans="1:10" ht="18" customHeight="1" x14ac:dyDescent="0.3">
      <c r="A104" s="2" t="s">
        <v>841</v>
      </c>
      <c r="B104" t="s">
        <v>728</v>
      </c>
      <c r="C104" t="s">
        <v>843</v>
      </c>
      <c r="D104" s="17">
        <v>199000</v>
      </c>
      <c r="E104" s="18"/>
      <c r="F104" s="2">
        <v>372</v>
      </c>
      <c r="G104" t="s">
        <v>679</v>
      </c>
      <c r="H104" s="2" t="s">
        <v>659</v>
      </c>
      <c r="I104" s="16" t="s">
        <v>409</v>
      </c>
      <c r="J104" s="20" t="s">
        <v>358</v>
      </c>
    </row>
    <row r="105" spans="1:10" ht="18" customHeight="1" x14ac:dyDescent="0.3">
      <c r="A105" s="2" t="s">
        <v>841</v>
      </c>
      <c r="B105" t="s">
        <v>776</v>
      </c>
      <c r="C105" t="s">
        <v>777</v>
      </c>
      <c r="D105" s="17">
        <v>498000</v>
      </c>
      <c r="E105" s="18"/>
      <c r="F105" s="2">
        <v>373</v>
      </c>
      <c r="G105" t="s">
        <v>679</v>
      </c>
      <c r="H105" s="2" t="s">
        <v>659</v>
      </c>
      <c r="I105" s="16" t="s">
        <v>415</v>
      </c>
      <c r="J105" s="20" t="s">
        <v>358</v>
      </c>
    </row>
    <row r="106" spans="1:10" ht="18" customHeight="1" x14ac:dyDescent="0.3">
      <c r="A106" s="2" t="s">
        <v>841</v>
      </c>
      <c r="B106" t="s">
        <v>844</v>
      </c>
      <c r="C106" t="s">
        <v>707</v>
      </c>
      <c r="D106" s="17">
        <v>7560000</v>
      </c>
      <c r="E106" s="18"/>
      <c r="F106" s="2">
        <v>374</v>
      </c>
      <c r="G106" t="s">
        <v>679</v>
      </c>
      <c r="H106" s="2" t="s">
        <v>787</v>
      </c>
      <c r="I106" s="16" t="s">
        <v>421</v>
      </c>
      <c r="J106" s="20" t="s">
        <v>358</v>
      </c>
    </row>
    <row r="107" spans="1:10" ht="18" customHeight="1" x14ac:dyDescent="0.3">
      <c r="A107" s="2" t="s">
        <v>841</v>
      </c>
      <c r="B107" t="s">
        <v>845</v>
      </c>
      <c r="C107" t="s">
        <v>846</v>
      </c>
      <c r="D107" s="17">
        <v>209000</v>
      </c>
      <c r="E107" s="18"/>
      <c r="F107" s="2">
        <v>375</v>
      </c>
      <c r="G107" t="s">
        <v>679</v>
      </c>
      <c r="H107" s="2" t="s">
        <v>659</v>
      </c>
      <c r="I107" s="16" t="s">
        <v>409</v>
      </c>
      <c r="J107" s="20" t="s">
        <v>358</v>
      </c>
    </row>
    <row r="108" spans="1:10" ht="18" customHeight="1" x14ac:dyDescent="0.3">
      <c r="A108" s="2" t="s">
        <v>847</v>
      </c>
      <c r="B108" t="s">
        <v>848</v>
      </c>
      <c r="C108" t="s">
        <v>696</v>
      </c>
      <c r="D108" s="17">
        <v>2880000</v>
      </c>
      <c r="E108" s="18"/>
      <c r="F108" s="2">
        <v>376</v>
      </c>
      <c r="G108" t="s">
        <v>658</v>
      </c>
      <c r="H108" s="2" t="s">
        <v>659</v>
      </c>
      <c r="I108" s="16" t="s">
        <v>407</v>
      </c>
      <c r="J108" s="20" t="s">
        <v>358</v>
      </c>
    </row>
    <row r="109" spans="1:10" ht="18" customHeight="1" x14ac:dyDescent="0.3">
      <c r="A109" s="2" t="s">
        <v>849</v>
      </c>
      <c r="B109" t="s">
        <v>850</v>
      </c>
      <c r="C109" t="s">
        <v>851</v>
      </c>
      <c r="D109" s="17">
        <v>775000</v>
      </c>
      <c r="E109" s="18"/>
      <c r="F109" s="2">
        <v>377</v>
      </c>
      <c r="G109" t="s">
        <v>679</v>
      </c>
      <c r="H109" s="2" t="s">
        <v>659</v>
      </c>
      <c r="I109" s="16" t="s">
        <v>413</v>
      </c>
      <c r="J109" s="20" t="s">
        <v>358</v>
      </c>
    </row>
    <row r="110" spans="1:10" ht="18" customHeight="1" x14ac:dyDescent="0.3">
      <c r="A110" s="2" t="s">
        <v>849</v>
      </c>
      <c r="B110" t="s">
        <v>852</v>
      </c>
      <c r="C110" t="s">
        <v>665</v>
      </c>
      <c r="D110" s="17"/>
      <c r="E110" s="18">
        <v>3164</v>
      </c>
      <c r="F110" s="2">
        <v>378</v>
      </c>
      <c r="G110" t="s">
        <v>658</v>
      </c>
      <c r="H110" s="2" t="s">
        <v>659</v>
      </c>
      <c r="I110" s="16" t="s">
        <v>407</v>
      </c>
      <c r="J110" s="20" t="s">
        <v>358</v>
      </c>
    </row>
    <row r="111" spans="1:10" ht="18" customHeight="1" x14ac:dyDescent="0.3">
      <c r="A111" s="2"/>
      <c r="B111" t="s">
        <v>685</v>
      </c>
      <c r="C111" t="s">
        <v>685</v>
      </c>
      <c r="D111" s="17"/>
      <c r="E111" s="18"/>
      <c r="F111" s="2">
        <v>379</v>
      </c>
      <c r="H111" s="2"/>
      <c r="I111" s="16" t="s">
        <v>1048</v>
      </c>
      <c r="J111" s="20" t="s">
        <v>1048</v>
      </c>
    </row>
    <row r="112" spans="1:10" ht="18" customHeight="1" x14ac:dyDescent="0.3">
      <c r="A112" s="2"/>
      <c r="B112" t="s">
        <v>685</v>
      </c>
      <c r="C112" t="s">
        <v>685</v>
      </c>
      <c r="D112" s="17"/>
      <c r="E112" s="18"/>
      <c r="F112" s="2">
        <v>380</v>
      </c>
      <c r="H112" s="2"/>
      <c r="I112" s="16" t="s">
        <v>1048</v>
      </c>
      <c r="J112" s="20" t="s">
        <v>1048</v>
      </c>
    </row>
    <row r="113" spans="1:10" ht="18" customHeight="1" x14ac:dyDescent="0.3">
      <c r="A113" s="2" t="s">
        <v>849</v>
      </c>
      <c r="B113" t="s">
        <v>853</v>
      </c>
      <c r="C113" t="s">
        <v>854</v>
      </c>
      <c r="D113" s="17">
        <v>6390000</v>
      </c>
      <c r="E113" s="18"/>
      <c r="F113" s="2">
        <v>381</v>
      </c>
      <c r="G113" t="s">
        <v>679</v>
      </c>
      <c r="H113" s="2" t="s">
        <v>659</v>
      </c>
      <c r="I113" s="16" t="s">
        <v>621</v>
      </c>
      <c r="J113" s="20" t="s">
        <v>19</v>
      </c>
    </row>
    <row r="114" spans="1:10" ht="18" customHeight="1" x14ac:dyDescent="0.3">
      <c r="A114" s="2" t="s">
        <v>855</v>
      </c>
      <c r="B114" t="s">
        <v>856</v>
      </c>
      <c r="C114" t="s">
        <v>792</v>
      </c>
      <c r="D114" s="17">
        <v>1635000</v>
      </c>
      <c r="E114" s="18"/>
      <c r="F114" s="2">
        <v>382</v>
      </c>
      <c r="G114" t="s">
        <v>679</v>
      </c>
      <c r="H114" s="2" t="s">
        <v>659</v>
      </c>
      <c r="I114" s="16" t="s">
        <v>421</v>
      </c>
      <c r="J114" s="20" t="s">
        <v>358</v>
      </c>
    </row>
    <row r="115" spans="1:10" ht="18" customHeight="1" x14ac:dyDescent="0.3">
      <c r="A115" s="2" t="s">
        <v>855</v>
      </c>
      <c r="B115" t="s">
        <v>857</v>
      </c>
      <c r="C115" t="s">
        <v>858</v>
      </c>
      <c r="D115" s="17">
        <v>220000</v>
      </c>
      <c r="E115" s="18"/>
      <c r="F115" s="2">
        <v>383</v>
      </c>
      <c r="G115" t="s">
        <v>679</v>
      </c>
      <c r="H115" s="2" t="s">
        <v>659</v>
      </c>
      <c r="I115" s="16" t="s">
        <v>413</v>
      </c>
      <c r="J115" s="20" t="s">
        <v>358</v>
      </c>
    </row>
    <row r="116" spans="1:10" ht="18" customHeight="1" x14ac:dyDescent="0.3">
      <c r="A116" s="2" t="s">
        <v>855</v>
      </c>
      <c r="B116" t="s">
        <v>850</v>
      </c>
      <c r="C116" t="s">
        <v>859</v>
      </c>
      <c r="D116" s="17">
        <v>775000</v>
      </c>
      <c r="E116" s="18"/>
      <c r="F116" s="2">
        <v>384</v>
      </c>
      <c r="G116" t="s">
        <v>679</v>
      </c>
      <c r="H116" s="2" t="s">
        <v>659</v>
      </c>
      <c r="I116" s="16" t="s">
        <v>413</v>
      </c>
      <c r="J116" s="20" t="s">
        <v>358</v>
      </c>
    </row>
    <row r="117" spans="1:10" ht="18" customHeight="1" x14ac:dyDescent="0.3">
      <c r="A117" s="2"/>
      <c r="B117" t="s">
        <v>685</v>
      </c>
      <c r="C117" t="s">
        <v>685</v>
      </c>
      <c r="D117" s="17"/>
      <c r="E117" s="18"/>
      <c r="F117" s="2">
        <v>385</v>
      </c>
      <c r="H117" s="2"/>
      <c r="I117" s="16" t="s">
        <v>1048</v>
      </c>
      <c r="J117" s="20" t="s">
        <v>1048</v>
      </c>
    </row>
    <row r="118" spans="1:10" ht="18" customHeight="1" x14ac:dyDescent="0.3">
      <c r="A118" s="2"/>
      <c r="B118" t="s">
        <v>685</v>
      </c>
      <c r="C118" t="s">
        <v>685</v>
      </c>
      <c r="D118" s="17"/>
      <c r="E118" s="18"/>
      <c r="F118" s="2">
        <v>386</v>
      </c>
      <c r="H118" s="2"/>
      <c r="I118" s="16" t="s">
        <v>1048</v>
      </c>
      <c r="J118" s="20" t="s">
        <v>1048</v>
      </c>
    </row>
    <row r="119" spans="1:10" ht="18" customHeight="1" x14ac:dyDescent="0.3">
      <c r="A119" s="19">
        <v>46115</v>
      </c>
      <c r="B119" t="s">
        <v>861</v>
      </c>
      <c r="C119" t="s">
        <v>661</v>
      </c>
      <c r="D119" s="17">
        <v>19404000</v>
      </c>
      <c r="E119" s="18"/>
      <c r="F119" s="2">
        <v>387</v>
      </c>
      <c r="G119" t="s">
        <v>658</v>
      </c>
      <c r="H119" s="2" t="s">
        <v>659</v>
      </c>
      <c r="I119" s="16" t="s">
        <v>407</v>
      </c>
      <c r="J119" s="20" t="s">
        <v>358</v>
      </c>
    </row>
    <row r="120" spans="1:10" ht="18" customHeight="1" x14ac:dyDescent="0.3">
      <c r="A120" s="19">
        <v>46115</v>
      </c>
      <c r="B120" t="s">
        <v>820</v>
      </c>
      <c r="C120" t="s">
        <v>862</v>
      </c>
      <c r="D120" s="17">
        <v>53600000</v>
      </c>
      <c r="E120" s="18"/>
      <c r="F120" s="2">
        <v>388</v>
      </c>
      <c r="G120" t="s">
        <v>679</v>
      </c>
      <c r="H120" s="2" t="s">
        <v>659</v>
      </c>
      <c r="I120" s="16" t="s">
        <v>342</v>
      </c>
      <c r="J120" s="20" t="s">
        <v>13</v>
      </c>
    </row>
    <row r="121" spans="1:10" ht="18" customHeight="1" x14ac:dyDescent="0.3">
      <c r="A121" s="19">
        <v>46145</v>
      </c>
      <c r="B121" t="s">
        <v>853</v>
      </c>
      <c r="C121" t="s">
        <v>864</v>
      </c>
      <c r="D121" s="17">
        <v>6300000</v>
      </c>
      <c r="E121" s="18"/>
      <c r="F121" s="2">
        <v>389</v>
      </c>
      <c r="G121" t="s">
        <v>679</v>
      </c>
      <c r="H121" s="2" t="s">
        <v>659</v>
      </c>
      <c r="I121" s="16" t="s">
        <v>621</v>
      </c>
      <c r="J121" s="20" t="s">
        <v>19</v>
      </c>
    </row>
    <row r="122" spans="1:10" ht="18" customHeight="1" x14ac:dyDescent="0.3">
      <c r="A122" s="19">
        <v>46176</v>
      </c>
      <c r="B122" t="s">
        <v>866</v>
      </c>
      <c r="C122" t="s">
        <v>867</v>
      </c>
      <c r="D122" s="17">
        <v>19039000</v>
      </c>
      <c r="E122" s="18"/>
      <c r="F122" s="2">
        <v>390</v>
      </c>
      <c r="G122" t="s">
        <v>679</v>
      </c>
      <c r="H122" s="2" t="s">
        <v>659</v>
      </c>
      <c r="I122" s="16" t="s">
        <v>415</v>
      </c>
      <c r="J122" s="20" t="s">
        <v>358</v>
      </c>
    </row>
    <row r="123" spans="1:10" ht="18" customHeight="1" x14ac:dyDescent="0.3">
      <c r="A123" s="19">
        <v>46176</v>
      </c>
      <c r="B123" t="s">
        <v>868</v>
      </c>
      <c r="C123" t="s">
        <v>672</v>
      </c>
      <c r="D123" s="17">
        <v>8981700</v>
      </c>
      <c r="E123" s="18"/>
      <c r="F123" s="2">
        <v>391</v>
      </c>
      <c r="G123" t="s">
        <v>658</v>
      </c>
      <c r="H123" s="2" t="s">
        <v>659</v>
      </c>
      <c r="I123" s="16" t="s">
        <v>407</v>
      </c>
      <c r="J123" s="20" t="s">
        <v>358</v>
      </c>
    </row>
    <row r="124" spans="1:10" ht="18" customHeight="1" x14ac:dyDescent="0.3">
      <c r="A124" s="19">
        <v>46268</v>
      </c>
      <c r="B124" t="s">
        <v>870</v>
      </c>
      <c r="C124" t="s">
        <v>871</v>
      </c>
      <c r="D124" s="17">
        <v>265000</v>
      </c>
      <c r="E124" s="18"/>
      <c r="F124" s="2">
        <v>392</v>
      </c>
      <c r="G124" t="s">
        <v>679</v>
      </c>
      <c r="H124" s="2" t="s">
        <v>659</v>
      </c>
      <c r="I124" s="16" t="s">
        <v>415</v>
      </c>
      <c r="J124" s="20" t="s">
        <v>358</v>
      </c>
    </row>
    <row r="125" spans="1:10" ht="18" customHeight="1" x14ac:dyDescent="0.3">
      <c r="A125" s="19">
        <v>46268</v>
      </c>
      <c r="B125" t="s">
        <v>872</v>
      </c>
      <c r="C125" t="s">
        <v>873</v>
      </c>
      <c r="D125" s="17">
        <v>990000</v>
      </c>
      <c r="E125" s="18"/>
      <c r="F125" s="2">
        <v>393</v>
      </c>
      <c r="G125" t="s">
        <v>658</v>
      </c>
      <c r="H125" s="2" t="s">
        <v>659</v>
      </c>
      <c r="I125" s="16" t="s">
        <v>407</v>
      </c>
      <c r="J125" s="20" t="s">
        <v>358</v>
      </c>
    </row>
    <row r="126" spans="1:10" ht="18" customHeight="1" x14ac:dyDescent="0.3">
      <c r="A126" s="19">
        <v>46268</v>
      </c>
      <c r="B126" t="s">
        <v>874</v>
      </c>
      <c r="C126" t="s">
        <v>668</v>
      </c>
      <c r="D126" s="17"/>
      <c r="E126" s="18">
        <v>815</v>
      </c>
      <c r="F126" s="2">
        <v>394</v>
      </c>
      <c r="H126" s="2"/>
      <c r="I126" s="16" t="s">
        <v>1048</v>
      </c>
      <c r="J126" s="20" t="s">
        <v>1048</v>
      </c>
    </row>
    <row r="127" spans="1:10" ht="18" customHeight="1" x14ac:dyDescent="0.3">
      <c r="A127" s="19">
        <v>46268</v>
      </c>
      <c r="B127" t="s">
        <v>875</v>
      </c>
      <c r="C127" t="s">
        <v>696</v>
      </c>
      <c r="D127" s="17">
        <v>2160000</v>
      </c>
      <c r="E127" s="18"/>
      <c r="F127" s="2">
        <v>395</v>
      </c>
      <c r="G127" t="s">
        <v>658</v>
      </c>
      <c r="H127" s="2" t="s">
        <v>659</v>
      </c>
      <c r="I127" s="16" t="s">
        <v>407</v>
      </c>
      <c r="J127" s="20" t="s">
        <v>358</v>
      </c>
    </row>
    <row r="128" spans="1:10" ht="18" customHeight="1" x14ac:dyDescent="0.3">
      <c r="A128" s="19">
        <v>46359</v>
      </c>
      <c r="B128" t="s">
        <v>877</v>
      </c>
      <c r="C128" t="s">
        <v>735</v>
      </c>
      <c r="D128" s="17">
        <v>2370000</v>
      </c>
      <c r="E128" s="18"/>
      <c r="F128" s="2">
        <v>396</v>
      </c>
      <c r="G128" t="s">
        <v>679</v>
      </c>
      <c r="H128" s="2" t="s">
        <v>659</v>
      </c>
      <c r="I128" s="16" t="s">
        <v>407</v>
      </c>
      <c r="J128" s="20" t="s">
        <v>358</v>
      </c>
    </row>
    <row r="129" spans="1:10" ht="18" customHeight="1" x14ac:dyDescent="0.3">
      <c r="A129" s="19">
        <v>46359</v>
      </c>
      <c r="B129" t="s">
        <v>878</v>
      </c>
      <c r="C129" t="s">
        <v>665</v>
      </c>
      <c r="D129" s="17"/>
      <c r="E129" s="18">
        <v>4972</v>
      </c>
      <c r="F129" s="2">
        <v>397</v>
      </c>
      <c r="G129" t="s">
        <v>658</v>
      </c>
      <c r="H129" s="2" t="s">
        <v>659</v>
      </c>
      <c r="I129" s="16" t="s">
        <v>407</v>
      </c>
      <c r="J129" s="20" t="s">
        <v>358</v>
      </c>
    </row>
    <row r="130" spans="1:10" ht="18" customHeight="1" x14ac:dyDescent="0.3">
      <c r="A130" s="2"/>
      <c r="B130" t="s">
        <v>685</v>
      </c>
      <c r="C130" t="s">
        <v>685</v>
      </c>
      <c r="D130" s="17"/>
      <c r="E130" s="18"/>
      <c r="F130" s="2">
        <v>398</v>
      </c>
      <c r="H130" s="2"/>
      <c r="I130" s="16" t="s">
        <v>1048</v>
      </c>
      <c r="J130" s="20" t="s">
        <v>1048</v>
      </c>
    </row>
    <row r="131" spans="1:10" ht="18" customHeight="1" x14ac:dyDescent="0.3">
      <c r="A131" s="19">
        <v>46359</v>
      </c>
      <c r="B131" t="s">
        <v>879</v>
      </c>
      <c r="C131" t="s">
        <v>880</v>
      </c>
      <c r="D131" s="17">
        <v>61779000</v>
      </c>
      <c r="E131" s="18"/>
      <c r="F131" s="2">
        <v>399</v>
      </c>
      <c r="G131" t="s">
        <v>658</v>
      </c>
      <c r="H131" s="2" t="s">
        <v>787</v>
      </c>
      <c r="I131" s="16" t="s">
        <v>342</v>
      </c>
      <c r="J131" s="20" t="s">
        <v>13</v>
      </c>
    </row>
    <row r="132" spans="1:10" ht="18" customHeight="1" x14ac:dyDescent="0.3">
      <c r="A132" s="19">
        <v>46359</v>
      </c>
      <c r="B132" t="s">
        <v>881</v>
      </c>
      <c r="C132" t="s">
        <v>696</v>
      </c>
      <c r="D132" s="17">
        <v>3600000</v>
      </c>
      <c r="E132" s="18"/>
      <c r="F132" s="2">
        <v>400</v>
      </c>
      <c r="G132" t="s">
        <v>658</v>
      </c>
      <c r="H132" s="2" t="s">
        <v>659</v>
      </c>
      <c r="I132" s="16" t="s">
        <v>407</v>
      </c>
      <c r="J132" s="20" t="s">
        <v>358</v>
      </c>
    </row>
    <row r="133" spans="1:10" ht="18" customHeight="1" x14ac:dyDescent="0.3">
      <c r="A133" s="2" t="s">
        <v>882</v>
      </c>
      <c r="B133" t="s">
        <v>883</v>
      </c>
      <c r="C133" t="s">
        <v>884</v>
      </c>
      <c r="D133" s="17">
        <v>2130000</v>
      </c>
      <c r="E133" s="18"/>
      <c r="F133" s="2">
        <v>401</v>
      </c>
      <c r="G133" t="s">
        <v>658</v>
      </c>
      <c r="H133" s="2" t="s">
        <v>659</v>
      </c>
      <c r="I133" s="16" t="s">
        <v>402</v>
      </c>
      <c r="J133" s="20" t="s">
        <v>13</v>
      </c>
    </row>
    <row r="134" spans="1:10" ht="18" customHeight="1" x14ac:dyDescent="0.3">
      <c r="A134" s="2" t="s">
        <v>882</v>
      </c>
      <c r="B134" t="s">
        <v>885</v>
      </c>
      <c r="C134" t="s">
        <v>867</v>
      </c>
      <c r="D134" s="17">
        <v>996000</v>
      </c>
      <c r="E134" s="18"/>
      <c r="F134" s="2">
        <v>402</v>
      </c>
      <c r="G134" t="s">
        <v>679</v>
      </c>
      <c r="H134" s="2" t="s">
        <v>659</v>
      </c>
      <c r="I134" s="16" t="s">
        <v>415</v>
      </c>
      <c r="J134" s="20" t="s">
        <v>358</v>
      </c>
    </row>
    <row r="135" spans="1:10" ht="18" customHeight="1" x14ac:dyDescent="0.3">
      <c r="A135" s="2" t="s">
        <v>882</v>
      </c>
      <c r="B135" t="s">
        <v>886</v>
      </c>
      <c r="C135" t="s">
        <v>811</v>
      </c>
      <c r="D135" s="17">
        <v>2370000</v>
      </c>
      <c r="E135" s="18"/>
      <c r="F135" s="2">
        <v>403</v>
      </c>
      <c r="G135" t="s">
        <v>658</v>
      </c>
      <c r="H135" s="2" t="s">
        <v>659</v>
      </c>
      <c r="I135" s="16" t="s">
        <v>407</v>
      </c>
      <c r="J135" s="20" t="s">
        <v>358</v>
      </c>
    </row>
    <row r="136" spans="1:10" ht="18" customHeight="1" x14ac:dyDescent="0.3">
      <c r="A136" s="2" t="s">
        <v>887</v>
      </c>
      <c r="B136" t="s">
        <v>888</v>
      </c>
      <c r="C136" t="s">
        <v>889</v>
      </c>
      <c r="D136" s="17">
        <v>10990000</v>
      </c>
      <c r="E136" s="18"/>
      <c r="F136" s="2">
        <v>404</v>
      </c>
      <c r="G136" t="s">
        <v>679</v>
      </c>
      <c r="H136" s="2" t="s">
        <v>659</v>
      </c>
      <c r="I136" s="16" t="s">
        <v>87</v>
      </c>
      <c r="J136" s="20" t="s">
        <v>19</v>
      </c>
    </row>
    <row r="137" spans="1:10" ht="18" customHeight="1" x14ac:dyDescent="0.3">
      <c r="A137" s="2" t="s">
        <v>887</v>
      </c>
      <c r="B137" t="s">
        <v>890</v>
      </c>
      <c r="C137" t="s">
        <v>707</v>
      </c>
      <c r="D137" s="17">
        <v>8640000</v>
      </c>
      <c r="E137" s="18"/>
      <c r="F137" s="2">
        <v>405</v>
      </c>
      <c r="G137" t="s">
        <v>679</v>
      </c>
      <c r="H137" s="2" t="s">
        <v>787</v>
      </c>
      <c r="I137" s="16" t="s">
        <v>421</v>
      </c>
      <c r="J137" s="20" t="s">
        <v>358</v>
      </c>
    </row>
    <row r="138" spans="1:10" ht="18" customHeight="1" x14ac:dyDescent="0.3">
      <c r="A138" s="2" t="s">
        <v>887</v>
      </c>
      <c r="B138" t="s">
        <v>776</v>
      </c>
      <c r="C138" t="s">
        <v>777</v>
      </c>
      <c r="D138" s="17">
        <v>498000</v>
      </c>
      <c r="E138" s="18"/>
      <c r="F138" s="2">
        <v>406</v>
      </c>
      <c r="G138" t="s">
        <v>679</v>
      </c>
      <c r="H138" s="2" t="s">
        <v>659</v>
      </c>
      <c r="I138" s="16" t="s">
        <v>415</v>
      </c>
      <c r="J138" s="20" t="s">
        <v>358</v>
      </c>
    </row>
    <row r="139" spans="1:10" ht="18" customHeight="1" x14ac:dyDescent="0.3">
      <c r="A139" s="2" t="s">
        <v>887</v>
      </c>
      <c r="B139" t="s">
        <v>728</v>
      </c>
      <c r="C139" t="s">
        <v>891</v>
      </c>
      <c r="D139" s="17">
        <v>200000</v>
      </c>
      <c r="E139" s="18"/>
      <c r="F139" s="2">
        <v>407</v>
      </c>
      <c r="G139" t="s">
        <v>679</v>
      </c>
      <c r="H139" s="2" t="s">
        <v>680</v>
      </c>
      <c r="I139" s="16" t="s">
        <v>409</v>
      </c>
      <c r="J139" s="20" t="s">
        <v>358</v>
      </c>
    </row>
    <row r="140" spans="1:10" ht="18" customHeight="1" x14ac:dyDescent="0.3">
      <c r="A140" s="2" t="s">
        <v>887</v>
      </c>
      <c r="B140" t="s">
        <v>892</v>
      </c>
      <c r="C140" t="s">
        <v>792</v>
      </c>
      <c r="D140" s="17">
        <v>1080000</v>
      </c>
      <c r="E140" s="18"/>
      <c r="F140" s="2">
        <v>408</v>
      </c>
      <c r="G140" t="s">
        <v>679</v>
      </c>
      <c r="H140" s="2" t="s">
        <v>659</v>
      </c>
      <c r="I140" s="16" t="s">
        <v>421</v>
      </c>
      <c r="J140" s="20" t="s">
        <v>358</v>
      </c>
    </row>
    <row r="141" spans="1:10" ht="18" customHeight="1" x14ac:dyDescent="0.3">
      <c r="A141" s="2" t="s">
        <v>887</v>
      </c>
      <c r="B141" t="s">
        <v>893</v>
      </c>
      <c r="C141" t="s">
        <v>761</v>
      </c>
      <c r="D141" s="17">
        <v>1130000</v>
      </c>
      <c r="E141" s="18"/>
      <c r="F141" s="2">
        <v>409</v>
      </c>
      <c r="G141" t="s">
        <v>679</v>
      </c>
      <c r="H141" s="2" t="s">
        <v>659</v>
      </c>
      <c r="I141" s="16" t="s">
        <v>425</v>
      </c>
      <c r="J141" s="20" t="s">
        <v>13</v>
      </c>
    </row>
    <row r="142" spans="1:10" ht="18" customHeight="1" x14ac:dyDescent="0.3">
      <c r="A142" s="2" t="s">
        <v>894</v>
      </c>
      <c r="B142" t="s">
        <v>691</v>
      </c>
      <c r="C142" t="s">
        <v>842</v>
      </c>
      <c r="D142" s="17">
        <v>790000</v>
      </c>
      <c r="E142" s="18"/>
      <c r="F142" s="2">
        <v>410</v>
      </c>
      <c r="G142" t="s">
        <v>679</v>
      </c>
      <c r="H142" s="2" t="s">
        <v>659</v>
      </c>
      <c r="I142" s="16" t="s">
        <v>407</v>
      </c>
      <c r="J142" s="20" t="s">
        <v>358</v>
      </c>
    </row>
    <row r="143" spans="1:10" ht="18" customHeight="1" x14ac:dyDescent="0.3">
      <c r="A143" s="2"/>
      <c r="B143" t="s">
        <v>685</v>
      </c>
      <c r="C143" t="s">
        <v>685</v>
      </c>
      <c r="D143" s="17"/>
      <c r="E143" s="18"/>
      <c r="F143" s="2">
        <v>411</v>
      </c>
      <c r="H143" s="2"/>
      <c r="I143" s="16" t="s">
        <v>1048</v>
      </c>
      <c r="J143" s="20" t="s">
        <v>1048</v>
      </c>
    </row>
    <row r="144" spans="1:10" ht="18" customHeight="1" x14ac:dyDescent="0.3">
      <c r="A144" s="2" t="s">
        <v>895</v>
      </c>
      <c r="B144" t="s">
        <v>896</v>
      </c>
      <c r="C144" t="s">
        <v>897</v>
      </c>
      <c r="D144" s="17">
        <v>1500000</v>
      </c>
      <c r="E144" s="18"/>
      <c r="F144" s="2">
        <v>412</v>
      </c>
      <c r="G144" t="s">
        <v>658</v>
      </c>
      <c r="H144" s="2" t="s">
        <v>659</v>
      </c>
      <c r="I144" s="16" t="s">
        <v>407</v>
      </c>
      <c r="J144" s="20" t="s">
        <v>358</v>
      </c>
    </row>
    <row r="145" spans="1:10" ht="18" customHeight="1" x14ac:dyDescent="0.3">
      <c r="A145" s="2" t="s">
        <v>895</v>
      </c>
      <c r="B145" t="s">
        <v>898</v>
      </c>
      <c r="C145" t="s">
        <v>792</v>
      </c>
      <c r="D145" s="17">
        <v>1440000</v>
      </c>
      <c r="E145" s="18"/>
      <c r="F145" s="2">
        <v>413</v>
      </c>
      <c r="G145" t="s">
        <v>679</v>
      </c>
      <c r="H145" s="2" t="s">
        <v>659</v>
      </c>
      <c r="I145" s="16" t="s">
        <v>421</v>
      </c>
      <c r="J145" s="20" t="s">
        <v>358</v>
      </c>
    </row>
    <row r="146" spans="1:10" ht="18" customHeight="1" x14ac:dyDescent="0.3">
      <c r="A146" s="2" t="s">
        <v>899</v>
      </c>
      <c r="B146" t="s">
        <v>850</v>
      </c>
      <c r="C146" t="s">
        <v>900</v>
      </c>
      <c r="D146" s="17">
        <v>775000</v>
      </c>
      <c r="E146" s="18"/>
      <c r="F146" s="2">
        <v>414</v>
      </c>
      <c r="G146" t="s">
        <v>679</v>
      </c>
      <c r="H146" s="2" t="s">
        <v>659</v>
      </c>
      <c r="I146" s="16" t="s">
        <v>413</v>
      </c>
      <c r="J146" s="20" t="s">
        <v>358</v>
      </c>
    </row>
    <row r="147" spans="1:10" ht="18" customHeight="1" x14ac:dyDescent="0.3">
      <c r="A147" s="2" t="s">
        <v>899</v>
      </c>
      <c r="B147" t="s">
        <v>901</v>
      </c>
      <c r="C147" t="s">
        <v>902</v>
      </c>
      <c r="D147" s="17">
        <v>545000</v>
      </c>
      <c r="E147" s="18"/>
      <c r="F147" s="2">
        <v>415</v>
      </c>
      <c r="G147" t="s">
        <v>658</v>
      </c>
      <c r="H147" s="2" t="s">
        <v>659</v>
      </c>
      <c r="I147" s="16" t="s">
        <v>421</v>
      </c>
      <c r="J147" s="20" t="s">
        <v>358</v>
      </c>
    </row>
    <row r="148" spans="1:10" ht="18" customHeight="1" x14ac:dyDescent="0.3">
      <c r="A148" s="2"/>
      <c r="B148" t="s">
        <v>685</v>
      </c>
      <c r="C148" t="s">
        <v>685</v>
      </c>
      <c r="D148" s="17"/>
      <c r="E148" s="18"/>
      <c r="F148" s="2">
        <v>416</v>
      </c>
      <c r="H148" s="2"/>
      <c r="I148" s="16" t="s">
        <v>1048</v>
      </c>
      <c r="J148" s="20" t="s">
        <v>1048</v>
      </c>
    </row>
    <row r="149" spans="1:10" ht="18" customHeight="1" x14ac:dyDescent="0.3">
      <c r="A149" s="2" t="s">
        <v>899</v>
      </c>
      <c r="B149" t="s">
        <v>903</v>
      </c>
      <c r="C149" t="s">
        <v>904</v>
      </c>
      <c r="D149" s="17">
        <v>56050000</v>
      </c>
      <c r="E149" s="18"/>
      <c r="F149" s="2">
        <v>417</v>
      </c>
      <c r="G149" t="s">
        <v>658</v>
      </c>
      <c r="H149" s="2" t="s">
        <v>787</v>
      </c>
      <c r="I149" s="16" t="s">
        <v>342</v>
      </c>
      <c r="J149" s="20" t="s">
        <v>13</v>
      </c>
    </row>
    <row r="150" spans="1:10" ht="18" customHeight="1" x14ac:dyDescent="0.3">
      <c r="A150" s="2" t="s">
        <v>905</v>
      </c>
      <c r="B150" t="s">
        <v>906</v>
      </c>
      <c r="C150" t="s">
        <v>907</v>
      </c>
      <c r="D150" s="17">
        <v>12000000</v>
      </c>
      <c r="E150" s="18"/>
      <c r="F150" s="2">
        <v>418</v>
      </c>
      <c r="G150" t="s">
        <v>679</v>
      </c>
      <c r="H150" s="2" t="s">
        <v>659</v>
      </c>
      <c r="I150" s="16" t="s">
        <v>1052</v>
      </c>
      <c r="J150" s="20" t="s">
        <v>19</v>
      </c>
    </row>
    <row r="151" spans="1:10" ht="18" customHeight="1" x14ac:dyDescent="0.3">
      <c r="A151" s="2" t="s">
        <v>908</v>
      </c>
      <c r="B151" t="s">
        <v>725</v>
      </c>
      <c r="C151" t="s">
        <v>735</v>
      </c>
      <c r="D151" s="17">
        <v>3160000</v>
      </c>
      <c r="E151" s="18"/>
      <c r="F151" s="2">
        <v>419</v>
      </c>
      <c r="G151" t="s">
        <v>679</v>
      </c>
      <c r="H151" s="2" t="s">
        <v>659</v>
      </c>
      <c r="I151" s="16" t="s">
        <v>407</v>
      </c>
      <c r="J151" s="20" t="s">
        <v>358</v>
      </c>
    </row>
    <row r="152" spans="1:10" ht="18" customHeight="1" x14ac:dyDescent="0.3">
      <c r="A152" s="2" t="s">
        <v>908</v>
      </c>
      <c r="B152" t="s">
        <v>909</v>
      </c>
      <c r="C152" t="s">
        <v>661</v>
      </c>
      <c r="D152" s="17">
        <v>5292000</v>
      </c>
      <c r="E152" s="18"/>
      <c r="F152" s="2">
        <v>420</v>
      </c>
      <c r="G152" t="s">
        <v>658</v>
      </c>
      <c r="H152" s="2" t="s">
        <v>659</v>
      </c>
      <c r="I152" s="16" t="s">
        <v>407</v>
      </c>
      <c r="J152" s="20" t="s">
        <v>358</v>
      </c>
    </row>
    <row r="153" spans="1:10" ht="18" customHeight="1" x14ac:dyDescent="0.3">
      <c r="A153" s="2" t="s">
        <v>908</v>
      </c>
      <c r="B153" t="s">
        <v>903</v>
      </c>
      <c r="C153" t="s">
        <v>910</v>
      </c>
      <c r="D153" s="17">
        <v>50500000</v>
      </c>
      <c r="E153" s="18"/>
      <c r="F153" s="2">
        <v>421</v>
      </c>
      <c r="G153" t="s">
        <v>679</v>
      </c>
      <c r="H153" s="2" t="s">
        <v>659</v>
      </c>
      <c r="I153" s="16" t="s">
        <v>342</v>
      </c>
      <c r="J153" s="20" t="s">
        <v>13</v>
      </c>
    </row>
    <row r="154" spans="1:10" ht="18" customHeight="1" x14ac:dyDescent="0.3">
      <c r="A154" s="2" t="s">
        <v>911</v>
      </c>
      <c r="B154" t="s">
        <v>912</v>
      </c>
      <c r="C154" t="s">
        <v>913</v>
      </c>
      <c r="D154" s="17">
        <v>5000000</v>
      </c>
      <c r="E154" s="18"/>
      <c r="F154" s="2">
        <v>422</v>
      </c>
      <c r="G154" t="s">
        <v>679</v>
      </c>
      <c r="H154" s="2" t="s">
        <v>914</v>
      </c>
      <c r="I154" s="16" t="s">
        <v>643</v>
      </c>
      <c r="J154" s="20" t="s">
        <v>19</v>
      </c>
    </row>
    <row r="155" spans="1:10" ht="18" customHeight="1" x14ac:dyDescent="0.3">
      <c r="A155" s="2" t="s">
        <v>915</v>
      </c>
      <c r="B155" t="s">
        <v>916</v>
      </c>
      <c r="C155" t="s">
        <v>880</v>
      </c>
      <c r="D155" s="17">
        <v>65300000</v>
      </c>
      <c r="E155" s="18"/>
      <c r="F155" s="2">
        <v>423</v>
      </c>
      <c r="G155" t="s">
        <v>658</v>
      </c>
      <c r="H155" s="2" t="s">
        <v>680</v>
      </c>
      <c r="I155" s="16" t="s">
        <v>342</v>
      </c>
      <c r="J155" s="20" t="s">
        <v>13</v>
      </c>
    </row>
    <row r="156" spans="1:10" ht="18" customHeight="1" x14ac:dyDescent="0.3">
      <c r="A156" s="2" t="s">
        <v>915</v>
      </c>
      <c r="B156" t="s">
        <v>917</v>
      </c>
      <c r="C156" t="s">
        <v>902</v>
      </c>
      <c r="D156" s="17">
        <v>1090000</v>
      </c>
      <c r="E156" s="18"/>
      <c r="F156" s="2">
        <v>424</v>
      </c>
      <c r="G156" t="s">
        <v>658</v>
      </c>
      <c r="H156" s="2" t="s">
        <v>659</v>
      </c>
      <c r="I156" s="16" t="s">
        <v>407</v>
      </c>
      <c r="J156" s="20" t="s">
        <v>358</v>
      </c>
    </row>
    <row r="157" spans="1:10" ht="18" customHeight="1" x14ac:dyDescent="0.3">
      <c r="A157" s="2" t="s">
        <v>915</v>
      </c>
      <c r="B157" t="s">
        <v>918</v>
      </c>
      <c r="C157" t="s">
        <v>792</v>
      </c>
      <c r="D157" s="17">
        <v>1080000</v>
      </c>
      <c r="E157" s="18"/>
      <c r="F157" s="2">
        <v>425</v>
      </c>
      <c r="G157" t="s">
        <v>679</v>
      </c>
      <c r="H157" s="2" t="s">
        <v>659</v>
      </c>
      <c r="I157" s="16" t="s">
        <v>421</v>
      </c>
      <c r="J157" s="20" t="s">
        <v>358</v>
      </c>
    </row>
    <row r="158" spans="1:10" ht="18" customHeight="1" x14ac:dyDescent="0.3">
      <c r="A158" s="2"/>
      <c r="B158" t="s">
        <v>685</v>
      </c>
      <c r="C158" t="s">
        <v>685</v>
      </c>
      <c r="D158" s="17"/>
      <c r="E158" s="18"/>
      <c r="F158" s="2">
        <v>426</v>
      </c>
      <c r="H158" s="2"/>
      <c r="I158" s="16" t="s">
        <v>1048</v>
      </c>
      <c r="J158" s="20" t="s">
        <v>1048</v>
      </c>
    </row>
    <row r="159" spans="1:10" ht="18" customHeight="1" x14ac:dyDescent="0.3">
      <c r="A159" s="2" t="s">
        <v>915</v>
      </c>
      <c r="B159" t="s">
        <v>919</v>
      </c>
      <c r="C159" t="s">
        <v>672</v>
      </c>
      <c r="D159" s="17">
        <v>5960500</v>
      </c>
      <c r="E159" s="18"/>
      <c r="F159" s="2">
        <v>427</v>
      </c>
      <c r="G159" t="s">
        <v>658</v>
      </c>
      <c r="H159" s="2" t="s">
        <v>659</v>
      </c>
      <c r="I159" s="16" t="s">
        <v>407</v>
      </c>
      <c r="J159" s="20" t="s">
        <v>358</v>
      </c>
    </row>
    <row r="160" spans="1:10" ht="18" customHeight="1" x14ac:dyDescent="0.3">
      <c r="A160" s="2" t="s">
        <v>920</v>
      </c>
      <c r="B160" t="s">
        <v>921</v>
      </c>
      <c r="C160" t="s">
        <v>922</v>
      </c>
      <c r="D160" s="17">
        <v>67290000</v>
      </c>
      <c r="E160" s="18"/>
      <c r="F160" s="2">
        <v>428</v>
      </c>
      <c r="G160" t="s">
        <v>679</v>
      </c>
      <c r="H160" s="2" t="s">
        <v>680</v>
      </c>
      <c r="I160" s="16" t="s">
        <v>549</v>
      </c>
      <c r="J160" s="20" t="s">
        <v>13</v>
      </c>
    </row>
    <row r="161" spans="1:10" ht="18" customHeight="1" x14ac:dyDescent="0.3">
      <c r="A161" s="2" t="s">
        <v>920</v>
      </c>
      <c r="B161" t="s">
        <v>923</v>
      </c>
      <c r="C161" t="s">
        <v>924</v>
      </c>
      <c r="D161" s="17">
        <v>4740000</v>
      </c>
      <c r="E161" s="18"/>
      <c r="F161" s="2">
        <v>429</v>
      </c>
      <c r="G161" t="s">
        <v>658</v>
      </c>
      <c r="H161" s="2" t="s">
        <v>659</v>
      </c>
      <c r="I161" s="16" t="s">
        <v>407</v>
      </c>
      <c r="J161" s="20" t="s">
        <v>358</v>
      </c>
    </row>
    <row r="162" spans="1:10" ht="18" customHeight="1" x14ac:dyDescent="0.3">
      <c r="A162" s="2" t="s">
        <v>920</v>
      </c>
      <c r="B162" t="s">
        <v>828</v>
      </c>
      <c r="C162" t="s">
        <v>902</v>
      </c>
      <c r="D162" s="17">
        <v>1090000</v>
      </c>
      <c r="E162" s="18"/>
      <c r="F162" s="2">
        <v>430</v>
      </c>
      <c r="G162" t="s">
        <v>679</v>
      </c>
      <c r="H162" s="2" t="s">
        <v>659</v>
      </c>
      <c r="I162" s="16" t="s">
        <v>407</v>
      </c>
      <c r="J162" s="20" t="s">
        <v>358</v>
      </c>
    </row>
    <row r="163" spans="1:10" ht="18" customHeight="1" x14ac:dyDescent="0.3">
      <c r="A163" s="2" t="s">
        <v>920</v>
      </c>
      <c r="B163" t="s">
        <v>903</v>
      </c>
      <c r="C163" t="s">
        <v>925</v>
      </c>
      <c r="D163" s="17">
        <v>53150000</v>
      </c>
      <c r="E163" s="18"/>
      <c r="F163" s="2">
        <v>431</v>
      </c>
      <c r="G163" t="s">
        <v>658</v>
      </c>
      <c r="H163" s="2" t="s">
        <v>926</v>
      </c>
      <c r="I163" s="16" t="s">
        <v>342</v>
      </c>
      <c r="J163" s="20" t="s">
        <v>13</v>
      </c>
    </row>
    <row r="164" spans="1:10" ht="18" customHeight="1" x14ac:dyDescent="0.3">
      <c r="A164" s="2" t="s">
        <v>920</v>
      </c>
      <c r="B164" t="s">
        <v>927</v>
      </c>
      <c r="C164" t="s">
        <v>928</v>
      </c>
      <c r="D164" s="17">
        <v>220000</v>
      </c>
      <c r="E164" s="18"/>
      <c r="F164" s="2">
        <v>432</v>
      </c>
      <c r="G164" t="s">
        <v>679</v>
      </c>
      <c r="H164" s="2" t="s">
        <v>659</v>
      </c>
      <c r="I164" s="16" t="s">
        <v>413</v>
      </c>
      <c r="J164" s="20" t="s">
        <v>358</v>
      </c>
    </row>
    <row r="165" spans="1:10" ht="18" customHeight="1" x14ac:dyDescent="0.3">
      <c r="A165" s="2" t="s">
        <v>920</v>
      </c>
      <c r="B165" t="s">
        <v>929</v>
      </c>
      <c r="C165" t="s">
        <v>930</v>
      </c>
      <c r="D165" s="17">
        <v>590000</v>
      </c>
      <c r="E165" s="18"/>
      <c r="F165" s="2">
        <v>433</v>
      </c>
      <c r="G165" t="s">
        <v>679</v>
      </c>
      <c r="H165" s="2" t="s">
        <v>931</v>
      </c>
      <c r="I165" s="16" t="s">
        <v>466</v>
      </c>
      <c r="J165" s="20" t="s">
        <v>73</v>
      </c>
    </row>
    <row r="166" spans="1:10" ht="18" customHeight="1" x14ac:dyDescent="0.3">
      <c r="A166" s="2" t="s">
        <v>932</v>
      </c>
      <c r="B166" t="s">
        <v>691</v>
      </c>
      <c r="C166" t="s">
        <v>704</v>
      </c>
      <c r="D166" s="17">
        <v>939000</v>
      </c>
      <c r="E166" s="18"/>
      <c r="F166" s="2">
        <v>434</v>
      </c>
      <c r="G166" t="s">
        <v>658</v>
      </c>
      <c r="H166" s="2" t="s">
        <v>659</v>
      </c>
      <c r="I166" s="16" t="s">
        <v>407</v>
      </c>
      <c r="J166" s="20" t="s">
        <v>358</v>
      </c>
    </row>
    <row r="167" spans="1:10" ht="18" customHeight="1" x14ac:dyDescent="0.3">
      <c r="A167" s="2" t="s">
        <v>932</v>
      </c>
      <c r="B167" t="s">
        <v>933</v>
      </c>
      <c r="C167" t="s">
        <v>657</v>
      </c>
      <c r="D167" s="17">
        <v>1970000</v>
      </c>
      <c r="E167" s="18"/>
      <c r="F167" s="2">
        <v>435</v>
      </c>
      <c r="G167" t="s">
        <v>658</v>
      </c>
      <c r="H167" s="2" t="s">
        <v>659</v>
      </c>
      <c r="I167" s="16" t="s">
        <v>407</v>
      </c>
      <c r="J167" s="20" t="s">
        <v>358</v>
      </c>
    </row>
    <row r="168" spans="1:10" ht="18" customHeight="1" x14ac:dyDescent="0.3">
      <c r="A168" s="2" t="s">
        <v>932</v>
      </c>
      <c r="B168" t="s">
        <v>934</v>
      </c>
      <c r="C168" t="s">
        <v>707</v>
      </c>
      <c r="D168" s="17">
        <v>7560000</v>
      </c>
      <c r="E168" s="18"/>
      <c r="F168" s="2">
        <v>436</v>
      </c>
      <c r="G168" t="s">
        <v>679</v>
      </c>
      <c r="H168" s="2" t="s">
        <v>926</v>
      </c>
      <c r="I168" s="16" t="s">
        <v>421</v>
      </c>
      <c r="J168" s="20" t="s">
        <v>358</v>
      </c>
    </row>
    <row r="169" spans="1:10" ht="18" customHeight="1" x14ac:dyDescent="0.3">
      <c r="A169" s="2" t="s">
        <v>932</v>
      </c>
      <c r="B169" t="s">
        <v>853</v>
      </c>
      <c r="C169" t="s">
        <v>935</v>
      </c>
      <c r="D169" s="17">
        <v>6590000</v>
      </c>
      <c r="E169" s="18"/>
      <c r="F169" s="2">
        <v>437</v>
      </c>
      <c r="G169" t="s">
        <v>679</v>
      </c>
      <c r="H169" s="2" t="s">
        <v>931</v>
      </c>
      <c r="I169" s="16" t="s">
        <v>621</v>
      </c>
      <c r="J169" s="20" t="s">
        <v>19</v>
      </c>
    </row>
    <row r="170" spans="1:10" ht="18" customHeight="1" x14ac:dyDescent="0.3">
      <c r="A170" s="2"/>
      <c r="B170" t="s">
        <v>685</v>
      </c>
      <c r="C170" t="s">
        <v>685</v>
      </c>
      <c r="D170" s="17"/>
      <c r="E170" s="18"/>
      <c r="F170" s="2">
        <v>438</v>
      </c>
      <c r="H170" s="2"/>
      <c r="I170" s="16" t="s">
        <v>1048</v>
      </c>
      <c r="J170" s="20" t="s">
        <v>1048</v>
      </c>
    </row>
    <row r="171" spans="1:10" ht="18" customHeight="1" x14ac:dyDescent="0.3">
      <c r="A171" s="2" t="s">
        <v>936</v>
      </c>
      <c r="B171" t="s">
        <v>937</v>
      </c>
      <c r="C171" t="s">
        <v>938</v>
      </c>
      <c r="D171" s="17">
        <v>25000000</v>
      </c>
      <c r="E171" s="18"/>
      <c r="F171" s="2">
        <v>439</v>
      </c>
      <c r="G171" t="s">
        <v>679</v>
      </c>
      <c r="H171" s="2" t="s">
        <v>680</v>
      </c>
      <c r="I171" s="16" t="s">
        <v>1048</v>
      </c>
      <c r="J171" s="20" t="s">
        <v>1048</v>
      </c>
    </row>
    <row r="172" spans="1:10" ht="18" customHeight="1" x14ac:dyDescent="0.3">
      <c r="A172" s="2"/>
      <c r="B172" t="s">
        <v>685</v>
      </c>
      <c r="C172" t="s">
        <v>685</v>
      </c>
      <c r="D172" s="17"/>
      <c r="E172" s="18"/>
      <c r="F172" s="2">
        <v>440</v>
      </c>
      <c r="H172" s="2"/>
      <c r="I172" s="16" t="s">
        <v>1048</v>
      </c>
      <c r="J172" s="20" t="s">
        <v>1048</v>
      </c>
    </row>
    <row r="173" spans="1:10" ht="18" customHeight="1" x14ac:dyDescent="0.3">
      <c r="A173" s="2" t="s">
        <v>936</v>
      </c>
      <c r="B173" t="s">
        <v>939</v>
      </c>
      <c r="C173" t="s">
        <v>657</v>
      </c>
      <c r="D173" s="17">
        <v>985000</v>
      </c>
      <c r="E173" s="18"/>
      <c r="F173" s="2">
        <v>441</v>
      </c>
      <c r="G173" t="s">
        <v>658</v>
      </c>
      <c r="H173" s="2" t="s">
        <v>659</v>
      </c>
      <c r="I173" s="16" t="s">
        <v>407</v>
      </c>
      <c r="J173" s="20" t="s">
        <v>358</v>
      </c>
    </row>
    <row r="174" spans="1:10" ht="18" customHeight="1" x14ac:dyDescent="0.3">
      <c r="A174" s="2"/>
      <c r="B174" t="s">
        <v>685</v>
      </c>
      <c r="C174" t="s">
        <v>685</v>
      </c>
      <c r="D174" s="17"/>
      <c r="E174" s="18"/>
      <c r="F174" s="2">
        <v>442</v>
      </c>
      <c r="H174" s="2"/>
      <c r="I174" s="16" t="s">
        <v>1048</v>
      </c>
      <c r="J174" s="20" t="s">
        <v>1048</v>
      </c>
    </row>
    <row r="175" spans="1:10" ht="18" customHeight="1" x14ac:dyDescent="0.3">
      <c r="A175" s="19">
        <v>46177</v>
      </c>
      <c r="B175" t="s">
        <v>941</v>
      </c>
      <c r="C175" t="s">
        <v>942</v>
      </c>
      <c r="D175" s="17">
        <v>4800000</v>
      </c>
      <c r="E175" s="18"/>
      <c r="F175" s="2">
        <v>443</v>
      </c>
      <c r="G175" t="s">
        <v>679</v>
      </c>
      <c r="H175" s="2" t="s">
        <v>659</v>
      </c>
      <c r="I175" s="16" t="s">
        <v>421</v>
      </c>
      <c r="J175" s="20" t="s">
        <v>358</v>
      </c>
    </row>
    <row r="176" spans="1:10" ht="18" customHeight="1" x14ac:dyDescent="0.3">
      <c r="A176" s="19">
        <v>46177</v>
      </c>
      <c r="B176" t="s">
        <v>943</v>
      </c>
      <c r="C176" t="s">
        <v>696</v>
      </c>
      <c r="D176" s="17">
        <v>1440000</v>
      </c>
      <c r="E176" s="18"/>
      <c r="F176" s="2">
        <v>444</v>
      </c>
      <c r="G176" t="s">
        <v>658</v>
      </c>
      <c r="H176" s="2" t="s">
        <v>659</v>
      </c>
      <c r="I176" s="16" t="s">
        <v>407</v>
      </c>
      <c r="J176" s="20" t="s">
        <v>358</v>
      </c>
    </row>
    <row r="177" spans="1:10" ht="18" customHeight="1" x14ac:dyDescent="0.3">
      <c r="A177" s="19">
        <v>46207</v>
      </c>
      <c r="B177" t="s">
        <v>945</v>
      </c>
      <c r="C177" t="s">
        <v>946</v>
      </c>
      <c r="D177" s="17">
        <v>990000</v>
      </c>
      <c r="E177" s="18"/>
      <c r="F177" s="2">
        <v>445</v>
      </c>
      <c r="G177" t="s">
        <v>679</v>
      </c>
      <c r="H177" s="2" t="s">
        <v>659</v>
      </c>
      <c r="I177" s="16" t="s">
        <v>407</v>
      </c>
      <c r="J177" s="20" t="s">
        <v>358</v>
      </c>
    </row>
    <row r="178" spans="1:10" ht="18" customHeight="1" x14ac:dyDescent="0.3">
      <c r="A178" s="19">
        <v>46207</v>
      </c>
      <c r="B178" t="s">
        <v>947</v>
      </c>
      <c r="C178" t="s">
        <v>735</v>
      </c>
      <c r="D178" s="17">
        <v>2370000</v>
      </c>
      <c r="E178" s="18"/>
      <c r="F178" s="2">
        <v>446</v>
      </c>
      <c r="G178" t="s">
        <v>679</v>
      </c>
      <c r="H178" s="2" t="s">
        <v>659</v>
      </c>
      <c r="I178" s="16" t="s">
        <v>407</v>
      </c>
      <c r="J178" s="20" t="s">
        <v>358</v>
      </c>
    </row>
    <row r="179" spans="1:10" ht="18" customHeight="1" x14ac:dyDescent="0.3">
      <c r="A179" s="19">
        <v>46238</v>
      </c>
      <c r="B179" t="s">
        <v>949</v>
      </c>
      <c r="C179" t="s">
        <v>672</v>
      </c>
      <c r="D179" s="17">
        <v>2957500</v>
      </c>
      <c r="E179" s="18"/>
      <c r="F179" s="2">
        <v>447</v>
      </c>
      <c r="G179" t="s">
        <v>658</v>
      </c>
      <c r="H179" s="2" t="s">
        <v>659</v>
      </c>
      <c r="I179" s="16" t="s">
        <v>407</v>
      </c>
      <c r="J179" s="20" t="s">
        <v>358</v>
      </c>
    </row>
    <row r="180" spans="1:10" ht="18" customHeight="1" x14ac:dyDescent="0.3">
      <c r="A180" s="19">
        <v>46238</v>
      </c>
      <c r="B180" t="s">
        <v>950</v>
      </c>
      <c r="C180" t="s">
        <v>951</v>
      </c>
      <c r="D180" s="17">
        <v>1960000</v>
      </c>
      <c r="E180" s="18"/>
      <c r="F180" s="2">
        <v>448</v>
      </c>
      <c r="G180" t="s">
        <v>679</v>
      </c>
      <c r="H180" s="2" t="s">
        <v>659</v>
      </c>
      <c r="I180" s="16" t="s">
        <v>407</v>
      </c>
      <c r="J180" s="20" t="s">
        <v>358</v>
      </c>
    </row>
    <row r="181" spans="1:10" ht="18" customHeight="1" x14ac:dyDescent="0.3">
      <c r="A181" s="19">
        <v>46238</v>
      </c>
      <c r="B181" t="s">
        <v>952</v>
      </c>
      <c r="C181" t="s">
        <v>665</v>
      </c>
      <c r="D181" s="17"/>
      <c r="E181" s="18">
        <v>1808</v>
      </c>
      <c r="F181" s="2">
        <v>449</v>
      </c>
      <c r="G181" t="s">
        <v>658</v>
      </c>
      <c r="H181" s="2" t="s">
        <v>659</v>
      </c>
      <c r="I181" s="16" t="s">
        <v>407</v>
      </c>
      <c r="J181" s="20" t="s">
        <v>358</v>
      </c>
    </row>
    <row r="182" spans="1:10" ht="18" customHeight="1" x14ac:dyDescent="0.3">
      <c r="A182" s="19">
        <v>46238</v>
      </c>
      <c r="B182" t="s">
        <v>901</v>
      </c>
      <c r="C182" t="s">
        <v>953</v>
      </c>
      <c r="D182" s="17">
        <v>550000</v>
      </c>
      <c r="E182" s="18"/>
      <c r="F182" s="2">
        <v>450</v>
      </c>
      <c r="G182" t="s">
        <v>679</v>
      </c>
      <c r="H182" s="2" t="s">
        <v>659</v>
      </c>
      <c r="I182" s="16" t="s">
        <v>421</v>
      </c>
      <c r="J182" s="20" t="s">
        <v>358</v>
      </c>
    </row>
    <row r="183" spans="1:10" ht="18" customHeight="1" x14ac:dyDescent="0.3">
      <c r="A183" s="19">
        <v>46238</v>
      </c>
      <c r="B183" t="s">
        <v>954</v>
      </c>
      <c r="C183" t="s">
        <v>955</v>
      </c>
      <c r="D183" s="17">
        <v>6600000</v>
      </c>
      <c r="E183" s="18"/>
      <c r="F183" s="2">
        <v>451</v>
      </c>
      <c r="G183" t="s">
        <v>679</v>
      </c>
      <c r="H183" s="2" t="s">
        <v>659</v>
      </c>
      <c r="I183" s="16" t="s">
        <v>421</v>
      </c>
      <c r="J183" s="20" t="s">
        <v>358</v>
      </c>
    </row>
    <row r="184" spans="1:10" ht="18" customHeight="1" x14ac:dyDescent="0.3">
      <c r="A184" s="19">
        <v>46269</v>
      </c>
      <c r="B184" t="s">
        <v>901</v>
      </c>
      <c r="C184" t="s">
        <v>957</v>
      </c>
      <c r="D184" s="17">
        <v>550000</v>
      </c>
      <c r="E184" s="18"/>
      <c r="F184" s="2">
        <v>452</v>
      </c>
      <c r="G184" t="s">
        <v>679</v>
      </c>
      <c r="H184" s="2" t="s">
        <v>659</v>
      </c>
      <c r="I184" s="16" t="s">
        <v>421</v>
      </c>
      <c r="J184" s="20" t="s">
        <v>358</v>
      </c>
    </row>
    <row r="185" spans="1:10" ht="18" customHeight="1" x14ac:dyDescent="0.3">
      <c r="A185" s="19">
        <v>46269</v>
      </c>
      <c r="B185" t="s">
        <v>958</v>
      </c>
      <c r="C185" t="s">
        <v>891</v>
      </c>
      <c r="D185" s="17">
        <v>220000</v>
      </c>
      <c r="E185" s="18"/>
      <c r="F185" s="2">
        <v>453</v>
      </c>
      <c r="G185" t="s">
        <v>679</v>
      </c>
      <c r="H185" s="2" t="s">
        <v>659</v>
      </c>
      <c r="I185" s="16" t="s">
        <v>413</v>
      </c>
      <c r="J185" s="20" t="s">
        <v>358</v>
      </c>
    </row>
    <row r="186" spans="1:10" ht="18" customHeight="1" x14ac:dyDescent="0.3">
      <c r="A186" s="19">
        <v>46269</v>
      </c>
      <c r="B186" t="s">
        <v>959</v>
      </c>
      <c r="C186" t="s">
        <v>672</v>
      </c>
      <c r="D186" s="17">
        <v>5920000</v>
      </c>
      <c r="E186" s="18"/>
      <c r="F186" s="2">
        <v>454</v>
      </c>
      <c r="G186" t="s">
        <v>658</v>
      </c>
      <c r="H186" s="2" t="s">
        <v>659</v>
      </c>
      <c r="I186" s="16" t="s">
        <v>407</v>
      </c>
      <c r="J186" s="20" t="s">
        <v>358</v>
      </c>
    </row>
    <row r="187" spans="1:10" ht="18" customHeight="1" x14ac:dyDescent="0.3">
      <c r="A187" s="19">
        <v>46269</v>
      </c>
      <c r="B187" t="s">
        <v>960</v>
      </c>
      <c r="C187" t="s">
        <v>942</v>
      </c>
      <c r="D187" s="17">
        <v>540000</v>
      </c>
      <c r="E187" s="18"/>
      <c r="F187" s="2">
        <v>455</v>
      </c>
      <c r="G187" t="s">
        <v>679</v>
      </c>
      <c r="H187" s="2" t="s">
        <v>659</v>
      </c>
      <c r="I187" s="16" t="s">
        <v>421</v>
      </c>
      <c r="J187" s="20" t="s">
        <v>358</v>
      </c>
    </row>
    <row r="188" spans="1:10" ht="18" customHeight="1" x14ac:dyDescent="0.3">
      <c r="A188" s="19">
        <v>46269</v>
      </c>
      <c r="B188" t="s">
        <v>961</v>
      </c>
      <c r="C188" t="s">
        <v>938</v>
      </c>
      <c r="D188" s="17">
        <v>25500000</v>
      </c>
      <c r="E188" s="18"/>
      <c r="F188" s="2">
        <v>456</v>
      </c>
      <c r="G188" t="s">
        <v>679</v>
      </c>
      <c r="H188" s="2" t="s">
        <v>659</v>
      </c>
      <c r="I188" s="16" t="s">
        <v>1048</v>
      </c>
      <c r="J188" s="20" t="s">
        <v>1048</v>
      </c>
    </row>
    <row r="189" spans="1:10" ht="18" customHeight="1" x14ac:dyDescent="0.3">
      <c r="A189" s="19">
        <v>46299</v>
      </c>
      <c r="B189" t="s">
        <v>691</v>
      </c>
      <c r="C189" t="s">
        <v>963</v>
      </c>
      <c r="D189" s="17">
        <v>990000</v>
      </c>
      <c r="E189" s="18"/>
      <c r="F189" s="2">
        <v>457</v>
      </c>
      <c r="G189" t="s">
        <v>679</v>
      </c>
      <c r="H189" s="2" t="s">
        <v>659</v>
      </c>
      <c r="I189" s="16" t="s">
        <v>407</v>
      </c>
      <c r="J189" s="20" t="s">
        <v>358</v>
      </c>
    </row>
    <row r="190" spans="1:10" ht="18" customHeight="1" x14ac:dyDescent="0.3">
      <c r="A190" s="19">
        <v>46299</v>
      </c>
      <c r="B190" t="s">
        <v>964</v>
      </c>
      <c r="C190" t="s">
        <v>965</v>
      </c>
      <c r="D190" s="17">
        <v>1650000</v>
      </c>
      <c r="E190" s="18"/>
      <c r="F190" s="2">
        <v>458</v>
      </c>
      <c r="G190" t="s">
        <v>679</v>
      </c>
      <c r="H190" s="2" t="s">
        <v>659</v>
      </c>
      <c r="I190" s="16" t="s">
        <v>421</v>
      </c>
      <c r="J190" s="20" t="s">
        <v>358</v>
      </c>
    </row>
    <row r="191" spans="1:10" ht="18" customHeight="1" x14ac:dyDescent="0.3">
      <c r="A191" s="19">
        <v>46299</v>
      </c>
      <c r="B191" t="s">
        <v>966</v>
      </c>
      <c r="C191" t="s">
        <v>953</v>
      </c>
      <c r="D191" s="17">
        <v>2200000</v>
      </c>
      <c r="E191" s="18"/>
      <c r="F191" s="2">
        <v>459</v>
      </c>
      <c r="G191" t="s">
        <v>679</v>
      </c>
      <c r="H191" s="2" t="s">
        <v>659</v>
      </c>
      <c r="I191" s="16" t="s">
        <v>421</v>
      </c>
      <c r="J191" s="20" t="s">
        <v>358</v>
      </c>
    </row>
    <row r="192" spans="1:10" ht="18" customHeight="1" x14ac:dyDescent="0.3">
      <c r="A192" s="19">
        <v>46299</v>
      </c>
      <c r="B192" t="s">
        <v>967</v>
      </c>
      <c r="C192" t="s">
        <v>968</v>
      </c>
      <c r="D192" s="17">
        <v>1580000</v>
      </c>
      <c r="E192" s="18"/>
      <c r="F192" s="2">
        <v>460</v>
      </c>
      <c r="G192" t="s">
        <v>658</v>
      </c>
      <c r="H192" s="2" t="s">
        <v>659</v>
      </c>
      <c r="I192" s="16" t="s">
        <v>407</v>
      </c>
      <c r="J192" s="20" t="s">
        <v>358</v>
      </c>
    </row>
    <row r="193" spans="1:10" ht="18" customHeight="1" x14ac:dyDescent="0.3">
      <c r="A193" s="2" t="s">
        <v>969</v>
      </c>
      <c r="B193" t="s">
        <v>903</v>
      </c>
      <c r="C193" t="s">
        <v>970</v>
      </c>
      <c r="D193" s="17">
        <v>50500000</v>
      </c>
      <c r="E193" s="18"/>
      <c r="F193" s="2">
        <v>461</v>
      </c>
      <c r="G193" t="s">
        <v>658</v>
      </c>
      <c r="H193" s="2" t="s">
        <v>787</v>
      </c>
      <c r="I193" s="16" t="s">
        <v>342</v>
      </c>
      <c r="J193" s="20" t="s">
        <v>13</v>
      </c>
    </row>
    <row r="194" spans="1:10" ht="18" customHeight="1" x14ac:dyDescent="0.3">
      <c r="A194" s="2" t="s">
        <v>969</v>
      </c>
      <c r="B194" t="s">
        <v>728</v>
      </c>
      <c r="C194" t="s">
        <v>971</v>
      </c>
      <c r="D194" s="17">
        <v>199000</v>
      </c>
      <c r="E194" s="18"/>
      <c r="F194" s="2">
        <v>462</v>
      </c>
      <c r="G194" t="s">
        <v>679</v>
      </c>
      <c r="H194" s="2" t="s">
        <v>659</v>
      </c>
      <c r="I194" s="16" t="s">
        <v>409</v>
      </c>
      <c r="J194" s="20" t="s">
        <v>358</v>
      </c>
    </row>
    <row r="195" spans="1:10" ht="18" customHeight="1" x14ac:dyDescent="0.3">
      <c r="A195" s="2" t="s">
        <v>969</v>
      </c>
      <c r="B195" t="s">
        <v>972</v>
      </c>
      <c r="C195" t="s">
        <v>735</v>
      </c>
      <c r="D195" s="17">
        <v>1580000</v>
      </c>
      <c r="E195" s="18"/>
      <c r="F195" s="2">
        <v>463</v>
      </c>
      <c r="G195" t="s">
        <v>679</v>
      </c>
      <c r="H195" s="2" t="s">
        <v>659</v>
      </c>
      <c r="I195" s="16" t="s">
        <v>407</v>
      </c>
      <c r="J195" s="20" t="s">
        <v>358</v>
      </c>
    </row>
    <row r="196" spans="1:10" ht="18" customHeight="1" x14ac:dyDescent="0.3">
      <c r="A196" s="2" t="s">
        <v>969</v>
      </c>
      <c r="B196" t="s">
        <v>973</v>
      </c>
      <c r="C196" t="s">
        <v>974</v>
      </c>
      <c r="D196" s="17">
        <v>419000</v>
      </c>
      <c r="E196" s="18"/>
      <c r="F196" s="2">
        <v>464</v>
      </c>
      <c r="G196" t="s">
        <v>679</v>
      </c>
      <c r="H196" s="2" t="s">
        <v>659</v>
      </c>
      <c r="I196" s="16" t="s">
        <v>413</v>
      </c>
      <c r="J196" s="20" t="s">
        <v>358</v>
      </c>
    </row>
    <row r="197" spans="1:10" ht="18" customHeight="1" x14ac:dyDescent="0.3">
      <c r="A197" s="2" t="s">
        <v>969</v>
      </c>
      <c r="B197" t="s">
        <v>975</v>
      </c>
      <c r="C197" t="s">
        <v>976</v>
      </c>
      <c r="D197" s="17">
        <v>8980000</v>
      </c>
      <c r="E197" s="18"/>
      <c r="F197" s="2">
        <v>465</v>
      </c>
      <c r="G197" t="s">
        <v>679</v>
      </c>
      <c r="H197" s="2" t="s">
        <v>659</v>
      </c>
      <c r="I197" s="16" t="s">
        <v>1053</v>
      </c>
      <c r="J197" s="20" t="s">
        <v>19</v>
      </c>
    </row>
    <row r="198" spans="1:10" ht="18" customHeight="1" x14ac:dyDescent="0.3">
      <c r="A198" s="2" t="s">
        <v>969</v>
      </c>
      <c r="B198" t="s">
        <v>710</v>
      </c>
      <c r="C198" t="s">
        <v>977</v>
      </c>
      <c r="D198" s="17">
        <v>2890000</v>
      </c>
      <c r="E198" s="18"/>
      <c r="F198" s="2">
        <v>466</v>
      </c>
      <c r="G198" t="s">
        <v>679</v>
      </c>
      <c r="H198" s="2" t="s">
        <v>659</v>
      </c>
      <c r="I198" s="16" t="s">
        <v>18</v>
      </c>
      <c r="J198" s="20" t="s">
        <v>19</v>
      </c>
    </row>
    <row r="199" spans="1:10" ht="18" customHeight="1" x14ac:dyDescent="0.3">
      <c r="A199" s="2" t="s">
        <v>969</v>
      </c>
      <c r="B199" t="s">
        <v>794</v>
      </c>
      <c r="C199" t="s">
        <v>978</v>
      </c>
      <c r="D199" s="17">
        <v>3120000</v>
      </c>
      <c r="E199" s="18"/>
      <c r="F199" s="2">
        <v>467</v>
      </c>
      <c r="G199" t="s">
        <v>658</v>
      </c>
      <c r="H199" s="2" t="s">
        <v>659</v>
      </c>
      <c r="I199" s="16" t="s">
        <v>407</v>
      </c>
      <c r="J199" s="20" t="s">
        <v>358</v>
      </c>
    </row>
    <row r="200" spans="1:10" ht="18" customHeight="1" x14ac:dyDescent="0.3">
      <c r="A200" s="2" t="s">
        <v>979</v>
      </c>
      <c r="B200" t="s">
        <v>980</v>
      </c>
      <c r="C200" t="s">
        <v>981</v>
      </c>
      <c r="D200" s="17">
        <v>1590000</v>
      </c>
      <c r="E200" s="18"/>
      <c r="F200" s="2">
        <v>468</v>
      </c>
      <c r="G200" t="s">
        <v>679</v>
      </c>
      <c r="H200" s="2" t="s">
        <v>659</v>
      </c>
      <c r="I200" s="16" t="s">
        <v>27</v>
      </c>
      <c r="J200" s="20" t="s">
        <v>19</v>
      </c>
    </row>
    <row r="201" spans="1:10" ht="18" customHeight="1" x14ac:dyDescent="0.3">
      <c r="A201" s="2"/>
      <c r="B201" t="s">
        <v>685</v>
      </c>
      <c r="C201" t="s">
        <v>685</v>
      </c>
      <c r="D201" s="17"/>
      <c r="E201" s="18"/>
      <c r="F201" s="2">
        <v>469</v>
      </c>
      <c r="H201" s="2"/>
      <c r="I201" s="16" t="s">
        <v>1048</v>
      </c>
      <c r="J201" s="20" t="s">
        <v>1048</v>
      </c>
    </row>
    <row r="202" spans="1:10" ht="18" customHeight="1" x14ac:dyDescent="0.3">
      <c r="A202" s="2" t="s">
        <v>979</v>
      </c>
      <c r="B202" t="s">
        <v>982</v>
      </c>
      <c r="C202" t="s">
        <v>661</v>
      </c>
      <c r="D202" s="17">
        <v>14122000</v>
      </c>
      <c r="E202" s="18"/>
      <c r="F202" s="2">
        <v>470</v>
      </c>
      <c r="G202" t="s">
        <v>658</v>
      </c>
      <c r="H202" s="2" t="s">
        <v>926</v>
      </c>
      <c r="I202" s="16" t="s">
        <v>407</v>
      </c>
      <c r="J202" s="20" t="s">
        <v>358</v>
      </c>
    </row>
    <row r="203" spans="1:10" ht="18" customHeight="1" x14ac:dyDescent="0.3">
      <c r="A203" s="2" t="s">
        <v>983</v>
      </c>
      <c r="B203" t="s">
        <v>984</v>
      </c>
      <c r="C203" t="s">
        <v>985</v>
      </c>
      <c r="D203" s="17"/>
      <c r="E203" s="18">
        <v>1400</v>
      </c>
      <c r="F203" s="2">
        <v>471</v>
      </c>
      <c r="H203" s="2"/>
      <c r="I203" s="16" t="s">
        <v>1048</v>
      </c>
      <c r="J203" s="20" t="s">
        <v>1048</v>
      </c>
    </row>
    <row r="204" spans="1:10" ht="18" customHeight="1" x14ac:dyDescent="0.3">
      <c r="A204" s="2"/>
      <c r="B204" t="s">
        <v>685</v>
      </c>
      <c r="C204" t="s">
        <v>685</v>
      </c>
      <c r="D204" s="17"/>
      <c r="E204" s="18"/>
      <c r="F204" s="2">
        <v>472</v>
      </c>
      <c r="H204" s="2"/>
      <c r="I204" s="16" t="s">
        <v>1048</v>
      </c>
      <c r="J204" s="20" t="s">
        <v>1048</v>
      </c>
    </row>
    <row r="205" spans="1:10" ht="18" customHeight="1" x14ac:dyDescent="0.3">
      <c r="A205" s="2" t="s">
        <v>983</v>
      </c>
      <c r="B205" t="s">
        <v>986</v>
      </c>
      <c r="C205" t="s">
        <v>871</v>
      </c>
      <c r="D205" s="17">
        <v>580000</v>
      </c>
      <c r="E205" s="18"/>
      <c r="F205" s="2">
        <v>473</v>
      </c>
      <c r="G205" t="s">
        <v>679</v>
      </c>
      <c r="H205" s="2" t="s">
        <v>659</v>
      </c>
      <c r="I205" s="16" t="s">
        <v>413</v>
      </c>
      <c r="J205" s="20" t="s">
        <v>358</v>
      </c>
    </row>
    <row r="206" spans="1:10" ht="18" customHeight="1" x14ac:dyDescent="0.3">
      <c r="A206" s="2" t="s">
        <v>983</v>
      </c>
      <c r="B206" t="s">
        <v>987</v>
      </c>
      <c r="C206" t="s">
        <v>696</v>
      </c>
      <c r="D206" s="17">
        <v>2880000</v>
      </c>
      <c r="E206" s="18"/>
      <c r="F206" s="2">
        <v>474</v>
      </c>
      <c r="G206" t="s">
        <v>658</v>
      </c>
      <c r="H206" s="2" t="s">
        <v>659</v>
      </c>
      <c r="I206" s="16" t="s">
        <v>407</v>
      </c>
      <c r="J206" s="20" t="s">
        <v>358</v>
      </c>
    </row>
    <row r="207" spans="1:10" ht="18" customHeight="1" x14ac:dyDescent="0.3">
      <c r="A207" s="2" t="s">
        <v>983</v>
      </c>
      <c r="B207" t="s">
        <v>893</v>
      </c>
      <c r="C207" t="s">
        <v>761</v>
      </c>
      <c r="D207" s="17">
        <v>1130000</v>
      </c>
      <c r="E207" s="18"/>
      <c r="F207" s="2">
        <v>475</v>
      </c>
      <c r="G207" t="s">
        <v>679</v>
      </c>
      <c r="H207" s="2" t="s">
        <v>659</v>
      </c>
      <c r="I207" s="16" t="s">
        <v>425</v>
      </c>
      <c r="J207" s="20" t="s">
        <v>13</v>
      </c>
    </row>
    <row r="208" spans="1:10" ht="18" customHeight="1" x14ac:dyDescent="0.3">
      <c r="A208" s="2" t="s">
        <v>983</v>
      </c>
      <c r="B208" t="s">
        <v>988</v>
      </c>
      <c r="C208" t="s">
        <v>989</v>
      </c>
      <c r="D208" s="17">
        <v>50500000</v>
      </c>
      <c r="E208" s="18"/>
      <c r="F208" s="2">
        <v>476</v>
      </c>
      <c r="G208" t="s">
        <v>679</v>
      </c>
      <c r="H208" s="2" t="s">
        <v>659</v>
      </c>
      <c r="I208" s="16" t="s">
        <v>342</v>
      </c>
      <c r="J208" s="20" t="s">
        <v>13</v>
      </c>
    </row>
    <row r="209" spans="1:10" ht="18" customHeight="1" x14ac:dyDescent="0.3">
      <c r="A209" s="2" t="s">
        <v>990</v>
      </c>
      <c r="B209" t="s">
        <v>991</v>
      </c>
      <c r="C209" t="s">
        <v>992</v>
      </c>
      <c r="D209" s="17">
        <v>65800000</v>
      </c>
      <c r="E209" s="18"/>
      <c r="F209" s="2">
        <v>477</v>
      </c>
      <c r="G209" t="s">
        <v>679</v>
      </c>
      <c r="H209" s="2" t="s">
        <v>659</v>
      </c>
      <c r="I209" s="16" t="s">
        <v>342</v>
      </c>
      <c r="J209" s="20" t="s">
        <v>13</v>
      </c>
    </row>
    <row r="210" spans="1:10" ht="18" customHeight="1" x14ac:dyDescent="0.3">
      <c r="A210" s="2" t="s">
        <v>990</v>
      </c>
      <c r="B210" t="s">
        <v>993</v>
      </c>
      <c r="C210" t="s">
        <v>942</v>
      </c>
      <c r="D210" s="17">
        <v>1080000</v>
      </c>
      <c r="E210" s="18"/>
      <c r="F210" s="2">
        <v>478</v>
      </c>
      <c r="G210" t="s">
        <v>679</v>
      </c>
      <c r="H210" s="2" t="s">
        <v>659</v>
      </c>
      <c r="I210" s="16" t="s">
        <v>421</v>
      </c>
      <c r="J210" s="20" t="s">
        <v>358</v>
      </c>
    </row>
    <row r="211" spans="1:10" ht="18" customHeight="1" x14ac:dyDescent="0.3">
      <c r="A211" s="2"/>
      <c r="B211" t="s">
        <v>685</v>
      </c>
      <c r="C211" t="s">
        <v>685</v>
      </c>
      <c r="D211" s="17"/>
      <c r="E211" s="18"/>
      <c r="F211" s="2">
        <v>479</v>
      </c>
      <c r="H211" s="2"/>
      <c r="I211" s="16" t="s">
        <v>1048</v>
      </c>
      <c r="J211" s="20" t="s">
        <v>1048</v>
      </c>
    </row>
    <row r="212" spans="1:10" ht="18" customHeight="1" x14ac:dyDescent="0.3">
      <c r="A212" s="2" t="s">
        <v>994</v>
      </c>
      <c r="B212" t="s">
        <v>995</v>
      </c>
      <c r="C212" t="s">
        <v>674</v>
      </c>
      <c r="D212" s="17">
        <v>1970000</v>
      </c>
      <c r="E212" s="18"/>
      <c r="F212" s="2">
        <v>480</v>
      </c>
      <c r="G212" t="s">
        <v>658</v>
      </c>
      <c r="H212" s="2" t="s">
        <v>659</v>
      </c>
      <c r="I212" s="16" t="s">
        <v>407</v>
      </c>
      <c r="J212" s="20" t="s">
        <v>358</v>
      </c>
    </row>
    <row r="213" spans="1:10" ht="18" customHeight="1" x14ac:dyDescent="0.3">
      <c r="A213" s="2" t="s">
        <v>994</v>
      </c>
      <c r="B213" t="s">
        <v>996</v>
      </c>
      <c r="C213" t="s">
        <v>665</v>
      </c>
      <c r="D213" s="17"/>
      <c r="E213" s="18">
        <v>4972</v>
      </c>
      <c r="F213" s="2">
        <v>481</v>
      </c>
      <c r="G213" t="s">
        <v>658</v>
      </c>
      <c r="H213" s="2" t="s">
        <v>659</v>
      </c>
      <c r="I213" s="16" t="s">
        <v>407</v>
      </c>
      <c r="J213" s="20" t="s">
        <v>358</v>
      </c>
    </row>
    <row r="214" spans="1:10" ht="18" customHeight="1" x14ac:dyDescent="0.3">
      <c r="A214" s="2" t="s">
        <v>994</v>
      </c>
      <c r="B214" t="s">
        <v>949</v>
      </c>
      <c r="C214" t="s">
        <v>672</v>
      </c>
      <c r="D214" s="17">
        <v>2934750</v>
      </c>
      <c r="E214" s="18"/>
      <c r="F214" s="2">
        <v>482</v>
      </c>
      <c r="G214" t="s">
        <v>658</v>
      </c>
      <c r="H214" s="2" t="s">
        <v>659</v>
      </c>
      <c r="I214" s="16" t="s">
        <v>407</v>
      </c>
      <c r="J214" s="20" t="s">
        <v>358</v>
      </c>
    </row>
    <row r="215" spans="1:10" ht="18" customHeight="1" x14ac:dyDescent="0.3">
      <c r="A215" s="2" t="s">
        <v>994</v>
      </c>
      <c r="B215" t="s">
        <v>997</v>
      </c>
      <c r="C215" t="s">
        <v>757</v>
      </c>
      <c r="D215" s="17">
        <v>395000</v>
      </c>
      <c r="E215" s="18"/>
      <c r="F215" s="2">
        <v>483</v>
      </c>
      <c r="G215" t="s">
        <v>679</v>
      </c>
      <c r="H215" s="2" t="s">
        <v>659</v>
      </c>
      <c r="I215" s="16" t="s">
        <v>411</v>
      </c>
      <c r="J215" s="20" t="s">
        <v>358</v>
      </c>
    </row>
    <row r="216" spans="1:10" ht="18" customHeight="1" x14ac:dyDescent="0.3">
      <c r="A216" s="2" t="s">
        <v>998</v>
      </c>
      <c r="B216" t="s">
        <v>794</v>
      </c>
      <c r="C216" t="s">
        <v>815</v>
      </c>
      <c r="D216" s="17">
        <v>3960000</v>
      </c>
      <c r="E216" s="18"/>
      <c r="F216" s="2">
        <v>484</v>
      </c>
      <c r="G216" t="s">
        <v>679</v>
      </c>
      <c r="H216" s="2" t="s">
        <v>659</v>
      </c>
      <c r="I216" s="16" t="s">
        <v>407</v>
      </c>
      <c r="J216" s="20" t="s">
        <v>358</v>
      </c>
    </row>
    <row r="217" spans="1:10" ht="18" customHeight="1" x14ac:dyDescent="0.3">
      <c r="A217" s="2"/>
      <c r="B217" t="s">
        <v>685</v>
      </c>
      <c r="C217" t="s">
        <v>685</v>
      </c>
      <c r="D217" s="17"/>
      <c r="E217" s="18"/>
      <c r="F217" s="2">
        <v>485</v>
      </c>
      <c r="H217" s="2"/>
      <c r="I217" s="16" t="s">
        <v>1048</v>
      </c>
      <c r="J217" s="20" t="s">
        <v>1048</v>
      </c>
    </row>
    <row r="218" spans="1:10" ht="18" customHeight="1" x14ac:dyDescent="0.3">
      <c r="A218" s="2" t="s">
        <v>998</v>
      </c>
      <c r="B218" t="s">
        <v>999</v>
      </c>
      <c r="C218" t="s">
        <v>1000</v>
      </c>
      <c r="D218" s="17"/>
      <c r="E218" s="18">
        <v>14955</v>
      </c>
      <c r="F218" s="2">
        <v>486</v>
      </c>
      <c r="G218" t="s">
        <v>658</v>
      </c>
      <c r="H218" s="2" t="s">
        <v>659</v>
      </c>
      <c r="I218" s="16" t="s">
        <v>1048</v>
      </c>
      <c r="J218" s="20" t="s">
        <v>1048</v>
      </c>
    </row>
    <row r="219" spans="1:10" ht="18" customHeight="1" x14ac:dyDescent="0.3">
      <c r="A219" s="2" t="s">
        <v>1001</v>
      </c>
      <c r="B219" t="s">
        <v>691</v>
      </c>
      <c r="C219" t="s">
        <v>829</v>
      </c>
      <c r="D219" s="17">
        <v>1000000</v>
      </c>
      <c r="E219" s="18"/>
      <c r="F219" s="2">
        <v>487</v>
      </c>
      <c r="G219" t="s">
        <v>679</v>
      </c>
      <c r="H219" s="2" t="s">
        <v>659</v>
      </c>
      <c r="I219" s="16" t="s">
        <v>407</v>
      </c>
      <c r="J219" s="20" t="s">
        <v>358</v>
      </c>
    </row>
    <row r="220" spans="1:10" ht="18" customHeight="1" x14ac:dyDescent="0.3">
      <c r="A220" s="2"/>
      <c r="B220" t="s">
        <v>685</v>
      </c>
      <c r="C220" t="s">
        <v>685</v>
      </c>
      <c r="D220" s="17"/>
      <c r="E220" s="18"/>
      <c r="F220" s="2">
        <v>488</v>
      </c>
      <c r="H220" s="2"/>
      <c r="I220" s="16" t="s">
        <v>1048</v>
      </c>
      <c r="J220" s="20" t="s">
        <v>1048</v>
      </c>
    </row>
    <row r="221" spans="1:10" ht="18" customHeight="1" x14ac:dyDescent="0.3">
      <c r="A221" s="2" t="s">
        <v>1001</v>
      </c>
      <c r="B221" t="s">
        <v>1002</v>
      </c>
      <c r="C221" t="s">
        <v>968</v>
      </c>
      <c r="D221" s="17">
        <v>1580000</v>
      </c>
      <c r="E221" s="18"/>
      <c r="F221" s="2">
        <v>489</v>
      </c>
      <c r="G221" t="s">
        <v>658</v>
      </c>
      <c r="H221" s="2" t="s">
        <v>659</v>
      </c>
      <c r="I221" s="16" t="s">
        <v>407</v>
      </c>
      <c r="J221" s="20" t="s">
        <v>358</v>
      </c>
    </row>
    <row r="222" spans="1:10" ht="18" customHeight="1" x14ac:dyDescent="0.3">
      <c r="A222" s="2" t="s">
        <v>1001</v>
      </c>
      <c r="B222" t="s">
        <v>1003</v>
      </c>
      <c r="C222" t="s">
        <v>942</v>
      </c>
      <c r="D222" s="17">
        <v>1080000</v>
      </c>
      <c r="E222" s="18"/>
      <c r="F222" s="2">
        <v>490</v>
      </c>
      <c r="G222" t="s">
        <v>679</v>
      </c>
      <c r="H222" s="2" t="s">
        <v>659</v>
      </c>
      <c r="I222" s="16" t="s">
        <v>421</v>
      </c>
      <c r="J222" s="20" t="s">
        <v>358</v>
      </c>
    </row>
    <row r="223" spans="1:10" ht="18" customHeight="1" x14ac:dyDescent="0.3">
      <c r="A223" s="2" t="s">
        <v>1001</v>
      </c>
      <c r="B223" t="s">
        <v>1004</v>
      </c>
      <c r="C223" t="s">
        <v>707</v>
      </c>
      <c r="D223" s="17">
        <v>6480000</v>
      </c>
      <c r="E223" s="18"/>
      <c r="F223" s="2">
        <v>491</v>
      </c>
      <c r="G223" t="s">
        <v>679</v>
      </c>
      <c r="H223" s="2" t="s">
        <v>926</v>
      </c>
      <c r="I223" s="16" t="s">
        <v>421</v>
      </c>
      <c r="J223" s="20" t="s">
        <v>358</v>
      </c>
    </row>
    <row r="224" spans="1:10" ht="18" customHeight="1" x14ac:dyDescent="0.3">
      <c r="A224" s="2" t="s">
        <v>1001</v>
      </c>
      <c r="B224" t="s">
        <v>1005</v>
      </c>
      <c r="C224" t="s">
        <v>1006</v>
      </c>
      <c r="D224" s="17">
        <v>18890000</v>
      </c>
      <c r="E224" s="18"/>
      <c r="F224" s="2">
        <v>492</v>
      </c>
      <c r="G224" t="s">
        <v>679</v>
      </c>
      <c r="H224" s="2" t="s">
        <v>659</v>
      </c>
      <c r="I224" s="16" t="s">
        <v>332</v>
      </c>
      <c r="J224" s="20" t="s">
        <v>13</v>
      </c>
    </row>
    <row r="225" spans="1:10" ht="18" customHeight="1" x14ac:dyDescent="0.3">
      <c r="A225" s="2" t="s">
        <v>1007</v>
      </c>
      <c r="B225" t="s">
        <v>816</v>
      </c>
      <c r="C225" t="s">
        <v>735</v>
      </c>
      <c r="D225" s="17">
        <v>1580000</v>
      </c>
      <c r="E225" s="18"/>
      <c r="F225" s="2">
        <v>493</v>
      </c>
      <c r="G225" t="s">
        <v>679</v>
      </c>
      <c r="H225" s="2" t="s">
        <v>659</v>
      </c>
      <c r="I225" s="16" t="s">
        <v>407</v>
      </c>
      <c r="J225" s="20" t="s">
        <v>358</v>
      </c>
    </row>
    <row r="226" spans="1:10" ht="18" customHeight="1" x14ac:dyDescent="0.3">
      <c r="A226" s="2" t="s">
        <v>1008</v>
      </c>
      <c r="B226" t="s">
        <v>1009</v>
      </c>
      <c r="C226" t="s">
        <v>665</v>
      </c>
      <c r="D226" s="17"/>
      <c r="E226" s="18">
        <v>1808</v>
      </c>
      <c r="F226" s="2">
        <v>494</v>
      </c>
      <c r="H226" s="2"/>
      <c r="I226" s="16" t="s">
        <v>407</v>
      </c>
      <c r="J226" s="20" t="s">
        <v>358</v>
      </c>
    </row>
    <row r="227" spans="1:10" ht="18" customHeight="1" x14ac:dyDescent="0.3">
      <c r="A227" s="2"/>
      <c r="B227" t="s">
        <v>685</v>
      </c>
      <c r="C227" t="s">
        <v>685</v>
      </c>
      <c r="D227" s="17"/>
      <c r="E227" s="18"/>
      <c r="F227" s="2">
        <v>495</v>
      </c>
      <c r="H227" s="2"/>
      <c r="I227" s="16" t="s">
        <v>1048</v>
      </c>
      <c r="J227" s="20" t="s">
        <v>1048</v>
      </c>
    </row>
    <row r="228" spans="1:10" ht="18" customHeight="1" x14ac:dyDescent="0.3">
      <c r="A228" s="2" t="s">
        <v>1010</v>
      </c>
      <c r="B228" t="s">
        <v>1011</v>
      </c>
      <c r="C228" t="s">
        <v>942</v>
      </c>
      <c r="D228" s="17">
        <v>710000</v>
      </c>
      <c r="E228" s="18"/>
      <c r="F228" s="2">
        <v>496</v>
      </c>
      <c r="G228" t="s">
        <v>679</v>
      </c>
      <c r="H228" s="2" t="s">
        <v>659</v>
      </c>
      <c r="I228" s="16" t="s">
        <v>421</v>
      </c>
      <c r="J228" s="20" t="s">
        <v>358</v>
      </c>
    </row>
    <row r="229" spans="1:10" ht="18" customHeight="1" x14ac:dyDescent="0.3">
      <c r="A229" s="2" t="s">
        <v>1010</v>
      </c>
      <c r="B229" t="s">
        <v>1012</v>
      </c>
      <c r="C229" t="s">
        <v>696</v>
      </c>
      <c r="D229" s="17">
        <v>3600000</v>
      </c>
      <c r="E229" s="18"/>
      <c r="F229" s="2">
        <v>497</v>
      </c>
      <c r="G229" t="s">
        <v>658</v>
      </c>
      <c r="H229" s="2" t="s">
        <v>659</v>
      </c>
      <c r="I229" s="16" t="s">
        <v>407</v>
      </c>
      <c r="J229" s="20" t="s">
        <v>358</v>
      </c>
    </row>
    <row r="230" spans="1:10" ht="18" customHeight="1" x14ac:dyDescent="0.3">
      <c r="A230" s="2" t="s">
        <v>1013</v>
      </c>
      <c r="B230" t="s">
        <v>1014</v>
      </c>
      <c r="C230" t="s">
        <v>953</v>
      </c>
      <c r="D230" s="17">
        <v>3300000</v>
      </c>
      <c r="E230" s="18"/>
      <c r="F230" s="2">
        <v>498</v>
      </c>
      <c r="G230" t="s">
        <v>679</v>
      </c>
      <c r="H230" s="2" t="s">
        <v>659</v>
      </c>
      <c r="I230" s="16" t="s">
        <v>421</v>
      </c>
      <c r="J230" s="20" t="s">
        <v>358</v>
      </c>
    </row>
    <row r="231" spans="1:10" ht="18" customHeight="1" x14ac:dyDescent="0.3">
      <c r="A231" s="2" t="s">
        <v>1013</v>
      </c>
      <c r="B231" t="s">
        <v>1015</v>
      </c>
      <c r="C231" t="s">
        <v>672</v>
      </c>
      <c r="D231" s="17">
        <v>5732000</v>
      </c>
      <c r="E231" s="18"/>
      <c r="F231" s="2">
        <v>499</v>
      </c>
      <c r="G231" t="s">
        <v>658</v>
      </c>
      <c r="H231" s="2" t="s">
        <v>659</v>
      </c>
      <c r="I231" s="16" t="s">
        <v>407</v>
      </c>
      <c r="J231" s="20" t="s">
        <v>358</v>
      </c>
    </row>
    <row r="232" spans="1:10" ht="18" customHeight="1" x14ac:dyDescent="0.3">
      <c r="A232" s="2" t="s">
        <v>1016</v>
      </c>
      <c r="B232" t="s">
        <v>1017</v>
      </c>
      <c r="C232" t="s">
        <v>978</v>
      </c>
      <c r="D232" s="17">
        <v>2350000</v>
      </c>
      <c r="E232" s="18"/>
      <c r="F232" s="2">
        <v>500</v>
      </c>
      <c r="G232" t="s">
        <v>658</v>
      </c>
      <c r="H232" s="2" t="s">
        <v>659</v>
      </c>
      <c r="I232" s="16" t="s">
        <v>407</v>
      </c>
      <c r="J232" s="20" t="s">
        <v>358</v>
      </c>
    </row>
    <row r="233" spans="1:10" ht="18" customHeight="1" x14ac:dyDescent="0.3">
      <c r="A233" s="2" t="s">
        <v>1016</v>
      </c>
      <c r="B233" t="s">
        <v>893</v>
      </c>
      <c r="C233" t="s">
        <v>761</v>
      </c>
      <c r="D233" s="17">
        <v>1130000</v>
      </c>
      <c r="E233" s="18"/>
      <c r="F233" s="2">
        <v>501</v>
      </c>
      <c r="G233" t="s">
        <v>679</v>
      </c>
      <c r="H233" s="2" t="s">
        <v>659</v>
      </c>
      <c r="I233" s="16" t="s">
        <v>425</v>
      </c>
      <c r="J233" s="20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936C4-A490-45D9-A347-39C8590ED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2026</vt:lpstr>
      <vt:lpstr>LISTA_PRECIOS_SOLPRO</vt:lpstr>
      <vt:lpstr>VENTAS TOTALES 2026</vt:lpstr>
      <vt:lpstr>COSTOS_INTERNOS_SOLPRO</vt:lpstr>
      <vt:lpstr>VENTAS TOTALES 2026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Bericua</dc:creator>
  <cp:lastModifiedBy>Alberto Bericua</cp:lastModifiedBy>
  <dcterms:created xsi:type="dcterms:W3CDTF">2026-05-03T12:51:51Z</dcterms:created>
  <dcterms:modified xsi:type="dcterms:W3CDTF">2026-05-03T14:27:56Z</dcterms:modified>
</cp:coreProperties>
</file>